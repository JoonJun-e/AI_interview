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oiseongjoon/Desktop/ai_interview/"/>
    </mc:Choice>
  </mc:AlternateContent>
  <xr:revisionPtr revIDLastSave="0" documentId="8_{F9E9BA46-48F2-F94B-832F-2A0650E5E272}" xr6:coauthVersionLast="47" xr6:coauthVersionMax="47" xr10:uidLastSave="{00000000-0000-0000-0000-000000000000}"/>
  <bookViews>
    <workbookView xWindow="3800" yWindow="660" windowWidth="26440" windowHeight="17400" activeTab="1" xr2:uid="{00000000-000D-0000-FFFF-FFFF00000000}"/>
  </bookViews>
  <sheets>
    <sheet name="단어수" sheetId="1" r:id="rId1"/>
    <sheet name="컨디션별" sheetId="3" r:id="rId2"/>
    <sheet name="컨디션별통계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7" i="3" l="1"/>
  <c r="D87" i="3"/>
  <c r="E87" i="3"/>
  <c r="F87" i="3"/>
  <c r="G87" i="3"/>
  <c r="C87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68" i="3"/>
  <c r="K65" i="3"/>
  <c r="K43" i="3"/>
  <c r="D65" i="3"/>
  <c r="E65" i="3"/>
  <c r="F65" i="3"/>
  <c r="G65" i="3"/>
  <c r="C65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46" i="3"/>
  <c r="D43" i="3"/>
  <c r="E43" i="3"/>
  <c r="F43" i="3"/>
  <c r="G43" i="3"/>
  <c r="H43" i="3"/>
  <c r="I43" i="3"/>
  <c r="C43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24" i="3"/>
  <c r="E21" i="3"/>
  <c r="K2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2" i="3"/>
  <c r="J2" i="3"/>
  <c r="J25" i="3"/>
  <c r="J24" i="3"/>
  <c r="Q4" i="3"/>
  <c r="Q3" i="3"/>
  <c r="O4" i="3"/>
  <c r="O3" i="3"/>
  <c r="D21" i="3"/>
  <c r="F21" i="3"/>
  <c r="G21" i="3"/>
  <c r="H21" i="3"/>
  <c r="I21" i="3"/>
  <c r="C21" i="3"/>
  <c r="P4" i="3"/>
  <c r="P3" i="3"/>
  <c r="N4" i="3"/>
  <c r="N3" i="3"/>
  <c r="K8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68" i="3"/>
  <c r="D86" i="3"/>
  <c r="E86" i="3"/>
  <c r="F86" i="3"/>
  <c r="G86" i="3"/>
  <c r="C86" i="3"/>
  <c r="B85" i="3"/>
  <c r="K64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46" i="3"/>
  <c r="D64" i="3"/>
  <c r="E64" i="3"/>
  <c r="F64" i="3"/>
  <c r="G64" i="3"/>
  <c r="C64" i="3"/>
  <c r="B63" i="3"/>
  <c r="B19" i="3"/>
  <c r="B41" i="3"/>
  <c r="K42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D42" i="3"/>
  <c r="E42" i="3"/>
  <c r="F42" i="3"/>
  <c r="G42" i="3"/>
  <c r="H42" i="3"/>
  <c r="I42" i="3"/>
  <c r="C42" i="3"/>
  <c r="K20" i="3"/>
  <c r="D20" i="3"/>
  <c r="E20" i="3"/>
  <c r="F20" i="3"/>
  <c r="G20" i="3"/>
  <c r="H20" i="3"/>
  <c r="I20" i="3"/>
  <c r="C2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</calcChain>
</file>

<file path=xl/sharedStrings.xml><?xml version="1.0" encoding="utf-8"?>
<sst xmlns="http://schemas.openxmlformats.org/spreadsheetml/2006/main" count="365" uniqueCount="108">
  <si>
    <t>컨디션</t>
  </si>
  <si>
    <t>이름</t>
  </si>
  <si>
    <t>질문1_자기소개</t>
  </si>
  <si>
    <t>질문2_소프트스킬</t>
  </si>
  <si>
    <t>질문3_하드스킬</t>
  </si>
  <si>
    <t>질문3_소프트스킬</t>
  </si>
  <si>
    <t>질문4_소프트스킬</t>
  </si>
  <si>
    <t>질문5_하드스킬</t>
  </si>
  <si>
    <t>질문5_소프트스킬</t>
  </si>
  <si>
    <t>질문6_소프트스킬</t>
  </si>
  <si>
    <t>질문7_하드스킬</t>
  </si>
  <si>
    <t>질문7_소프트스킬</t>
  </si>
  <si>
    <t>질문9_하드스킬</t>
  </si>
  <si>
    <t>소프트스킬_평균</t>
  </si>
  <si>
    <t>하드스킬_평균</t>
  </si>
  <si>
    <t>전체_평균</t>
  </si>
  <si>
    <t>A(TSOA)</t>
  </si>
  <si>
    <t>김서현</t>
  </si>
  <si>
    <t>김선재</t>
  </si>
  <si>
    <t>김소민</t>
  </si>
  <si>
    <t>김예린</t>
  </si>
  <si>
    <t>김은미</t>
  </si>
  <si>
    <t>남효윤</t>
  </si>
  <si>
    <t>민지선</t>
  </si>
  <si>
    <t>박종민</t>
  </si>
  <si>
    <t>반경림</t>
  </si>
  <si>
    <t>유수연</t>
  </si>
  <si>
    <t>이예은</t>
  </si>
  <si>
    <t>이윤성</t>
  </si>
  <si>
    <t>이충민</t>
  </si>
  <si>
    <t>이호준</t>
  </si>
  <si>
    <t>장채연</t>
  </si>
  <si>
    <t>장혜지</t>
  </si>
  <si>
    <t>정기찬</t>
  </si>
  <si>
    <t>홍성헌</t>
  </si>
  <si>
    <t>B(TSOR)</t>
  </si>
  <si>
    <t>강충원</t>
  </si>
  <si>
    <t>권희재</t>
  </si>
  <si>
    <t>김서빈</t>
  </si>
  <si>
    <t>김영채</t>
  </si>
  <si>
    <t>김예솔</t>
  </si>
  <si>
    <t>박소희</t>
  </si>
  <si>
    <t>소리</t>
  </si>
  <si>
    <t>안수현</t>
  </si>
  <si>
    <t>이나경</t>
  </si>
  <si>
    <t>이상현</t>
  </si>
  <si>
    <t>이세민</t>
  </si>
  <si>
    <t>이승민</t>
  </si>
  <si>
    <t>정유정</t>
  </si>
  <si>
    <t>조예진</t>
  </si>
  <si>
    <t>최지원</t>
  </si>
  <si>
    <t>표서윤</t>
  </si>
  <si>
    <t>허진아</t>
  </si>
  <si>
    <t>C(THOA)</t>
  </si>
  <si>
    <t>곽현엽</t>
  </si>
  <si>
    <t>김민서</t>
  </si>
  <si>
    <t>김수민</t>
  </si>
  <si>
    <t>김수진</t>
  </si>
  <si>
    <t>김재성</t>
  </si>
  <si>
    <t>송민유</t>
  </si>
  <si>
    <t>송세호</t>
  </si>
  <si>
    <t>유정민</t>
  </si>
  <si>
    <t>이예진</t>
  </si>
  <si>
    <t>이현진</t>
  </si>
  <si>
    <t>이효성</t>
  </si>
  <si>
    <t>정해빈</t>
  </si>
  <si>
    <t>정혜우</t>
  </si>
  <si>
    <t>주일찬</t>
  </si>
  <si>
    <t>천예원</t>
  </si>
  <si>
    <t>한결</t>
  </si>
  <si>
    <t>홍서빈</t>
  </si>
  <si>
    <t>D(THOR)</t>
  </si>
  <si>
    <t>강우진</t>
  </si>
  <si>
    <t>김도훈</t>
  </si>
  <si>
    <t>김세희</t>
  </si>
  <si>
    <t>김재욱</t>
  </si>
  <si>
    <t>박유나</t>
  </si>
  <si>
    <t>배민준</t>
  </si>
  <si>
    <t>백지훈</t>
  </si>
  <si>
    <t>서인준</t>
  </si>
  <si>
    <t>신재안</t>
  </si>
  <si>
    <t>오종화</t>
  </si>
  <si>
    <t>유민지</t>
  </si>
  <si>
    <t>이승상</t>
  </si>
  <si>
    <t>이언주</t>
  </si>
  <si>
    <t>이원재</t>
  </si>
  <si>
    <t>임아인</t>
  </si>
  <si>
    <t>임희원</t>
  </si>
  <si>
    <t>주지현</t>
  </si>
  <si>
    <t>최원영</t>
  </si>
  <si>
    <t>인원</t>
  </si>
  <si>
    <t>질문1_자기소개</t>
    <phoneticPr fontId="1" type="noConversion"/>
  </si>
  <si>
    <t>Average</t>
    <phoneticPr fontId="1" type="noConversion"/>
  </si>
  <si>
    <t>Average (participant)</t>
    <phoneticPr fontId="1" type="noConversion"/>
  </si>
  <si>
    <t>Average of Condition A</t>
    <phoneticPr fontId="1" type="noConversion"/>
  </si>
  <si>
    <t>Average of Condition B</t>
    <phoneticPr fontId="1" type="noConversion"/>
  </si>
  <si>
    <t>Average of Condition C</t>
    <phoneticPr fontId="1" type="noConversion"/>
  </si>
  <si>
    <t>Average of Condition D</t>
    <phoneticPr fontId="1" type="noConversion"/>
  </si>
  <si>
    <t>소프트스킬</t>
    <phoneticPr fontId="1" type="noConversion"/>
  </si>
  <si>
    <t>하드스킬</t>
    <phoneticPr fontId="1" type="noConversion"/>
  </si>
  <si>
    <t>자기소개문항 포함</t>
    <phoneticPr fontId="1" type="noConversion"/>
  </si>
  <si>
    <t>자기소개문항 제외</t>
    <phoneticPr fontId="1" type="noConversion"/>
  </si>
  <si>
    <t>M</t>
    <phoneticPr fontId="1" type="noConversion"/>
  </si>
  <si>
    <t>SD</t>
    <phoneticPr fontId="1" type="noConversion"/>
  </si>
  <si>
    <t>SD of Condition A</t>
    <phoneticPr fontId="1" type="noConversion"/>
  </si>
  <si>
    <t>SD of Condition B</t>
    <phoneticPr fontId="1" type="noConversion"/>
  </si>
  <si>
    <t>SD of Condition C</t>
    <phoneticPr fontId="1" type="noConversion"/>
  </si>
  <si>
    <t>SD of Condition 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</si>
</sst>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name val="맑은 고딕"/>
      <family val="2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5" borderId="0" xfId="0" applyNumberFormat="1" applyFill="1"/>
    <xf numFmtId="2" fontId="0" fillId="6" borderId="0" xfId="0" applyNumberFormat="1" applyFill="1"/>
    <xf numFmtId="0" fontId="2" fillId="7" borderId="0" xfId="0" applyFont="1" applyFill="1"/>
    <xf numFmtId="2" fontId="3" fillId="5" borderId="0" xfId="0" applyNumberFormat="1" applyFont="1" applyFill="1"/>
    <xf numFmtId="2" fontId="0" fillId="0" borderId="0" xfId="0" applyNumberFormat="1"/>
    <xf numFmtId="0" fontId="0" fillId="0" borderId="1" xfId="0" applyBorder="1"/>
    <xf numFmtId="0" fontId="0" fillId="8" borderId="1" xfId="0" applyFill="1" applyBorder="1"/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workbookViewId="0">
      <pane ySplit="1" topLeftCell="A49" activePane="bottomLeft" state="frozen"/>
      <selection pane="bottomLeft" activeCell="G77" sqref="G77"/>
    </sheetView>
  </sheetViews>
  <sheetFormatPr baseColWidth="10" defaultColWidth="8.83203125" defaultRowHeight="17"/>
  <cols>
    <col min="3" max="3" width="13.83203125" bestFit="1" customWidth="1"/>
    <col min="4" max="4" width="15.6640625" bestFit="1" customWidth="1"/>
    <col min="5" max="5" width="13.83203125" bestFit="1" customWidth="1"/>
    <col min="6" max="7" width="15.6640625" bestFit="1" customWidth="1"/>
    <col min="8" max="8" width="13.83203125" bestFit="1" customWidth="1"/>
    <col min="9" max="10" width="15.6640625" bestFit="1" customWidth="1"/>
    <col min="11" max="11" width="13.83203125" bestFit="1" customWidth="1"/>
    <col min="12" max="12" width="15.6640625" bestFit="1" customWidth="1"/>
    <col min="13" max="13" width="13.83203125" bestFit="1" customWidth="1"/>
    <col min="14" max="14" width="14.6640625" bestFit="1" customWidth="1"/>
    <col min="15" max="15" width="12.8320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99</v>
      </c>
      <c r="D2">
        <v>87</v>
      </c>
      <c r="F2">
        <v>115</v>
      </c>
      <c r="G2">
        <v>103</v>
      </c>
      <c r="I2">
        <v>114</v>
      </c>
      <c r="J2">
        <v>77</v>
      </c>
      <c r="L2">
        <v>90</v>
      </c>
      <c r="N2">
        <v>97.7</v>
      </c>
      <c r="P2">
        <v>97.9</v>
      </c>
    </row>
    <row r="3" spans="1:16">
      <c r="A3" t="s">
        <v>16</v>
      </c>
      <c r="B3" t="s">
        <v>18</v>
      </c>
      <c r="C3">
        <v>41</v>
      </c>
      <c r="D3">
        <v>120</v>
      </c>
      <c r="F3">
        <v>110</v>
      </c>
      <c r="G3">
        <v>112</v>
      </c>
      <c r="I3">
        <v>121</v>
      </c>
      <c r="J3">
        <v>162</v>
      </c>
      <c r="L3">
        <v>130</v>
      </c>
      <c r="N3">
        <v>125.8</v>
      </c>
      <c r="P3">
        <v>113.7</v>
      </c>
    </row>
    <row r="4" spans="1:16">
      <c r="A4" t="s">
        <v>16</v>
      </c>
      <c r="B4" t="s">
        <v>19</v>
      </c>
      <c r="C4">
        <v>44</v>
      </c>
      <c r="D4">
        <v>68</v>
      </c>
      <c r="F4">
        <v>93</v>
      </c>
      <c r="G4">
        <v>94</v>
      </c>
      <c r="I4">
        <v>96</v>
      </c>
      <c r="J4">
        <v>52</v>
      </c>
      <c r="L4">
        <v>72</v>
      </c>
      <c r="N4">
        <v>79.2</v>
      </c>
      <c r="P4">
        <v>74.099999999999994</v>
      </c>
    </row>
    <row r="5" spans="1:16">
      <c r="A5" t="s">
        <v>16</v>
      </c>
      <c r="B5" t="s">
        <v>20</v>
      </c>
      <c r="C5">
        <v>57</v>
      </c>
      <c r="D5">
        <v>46</v>
      </c>
      <c r="F5">
        <v>45</v>
      </c>
      <c r="G5">
        <v>46</v>
      </c>
      <c r="I5">
        <v>70</v>
      </c>
      <c r="J5">
        <v>55</v>
      </c>
      <c r="L5">
        <v>47</v>
      </c>
      <c r="N5">
        <v>51.5</v>
      </c>
      <c r="P5">
        <v>52.3</v>
      </c>
    </row>
    <row r="6" spans="1:16">
      <c r="A6" t="s">
        <v>16</v>
      </c>
      <c r="B6" t="s">
        <v>21</v>
      </c>
      <c r="C6">
        <v>100</v>
      </c>
      <c r="D6">
        <v>144</v>
      </c>
      <c r="F6">
        <v>167</v>
      </c>
      <c r="G6">
        <v>103</v>
      </c>
      <c r="I6">
        <v>111</v>
      </c>
      <c r="J6">
        <v>102</v>
      </c>
      <c r="L6">
        <v>172</v>
      </c>
      <c r="N6">
        <v>133.19999999999999</v>
      </c>
      <c r="P6">
        <v>128.4</v>
      </c>
    </row>
    <row r="7" spans="1:16">
      <c r="A7" t="s">
        <v>16</v>
      </c>
      <c r="B7" t="s">
        <v>22</v>
      </c>
      <c r="C7">
        <v>58</v>
      </c>
      <c r="D7">
        <v>89</v>
      </c>
      <c r="F7">
        <v>114</v>
      </c>
      <c r="G7">
        <v>97</v>
      </c>
      <c r="I7">
        <v>113</v>
      </c>
      <c r="J7">
        <v>123</v>
      </c>
      <c r="L7">
        <v>110</v>
      </c>
      <c r="N7">
        <v>107.7</v>
      </c>
      <c r="P7">
        <v>100.6</v>
      </c>
    </row>
    <row r="8" spans="1:16">
      <c r="A8" t="s">
        <v>16</v>
      </c>
      <c r="B8" t="s">
        <v>23</v>
      </c>
      <c r="C8">
        <v>77</v>
      </c>
      <c r="D8">
        <v>103</v>
      </c>
      <c r="F8">
        <v>57</v>
      </c>
      <c r="G8">
        <v>78</v>
      </c>
      <c r="I8">
        <v>56</v>
      </c>
      <c r="J8">
        <v>48</v>
      </c>
      <c r="L8">
        <v>84</v>
      </c>
      <c r="N8">
        <v>71</v>
      </c>
      <c r="P8">
        <v>71.900000000000006</v>
      </c>
    </row>
    <row r="9" spans="1:16">
      <c r="A9" t="s">
        <v>16</v>
      </c>
      <c r="B9" t="s">
        <v>24</v>
      </c>
      <c r="C9">
        <v>58</v>
      </c>
      <c r="D9">
        <v>127</v>
      </c>
      <c r="F9">
        <v>129</v>
      </c>
      <c r="G9">
        <v>129</v>
      </c>
      <c r="I9">
        <v>130</v>
      </c>
      <c r="J9">
        <v>147</v>
      </c>
      <c r="L9">
        <v>152</v>
      </c>
      <c r="N9">
        <v>135.69999999999999</v>
      </c>
      <c r="P9">
        <v>124.6</v>
      </c>
    </row>
    <row r="10" spans="1:16">
      <c r="A10" t="s">
        <v>16</v>
      </c>
      <c r="B10" t="s">
        <v>25</v>
      </c>
      <c r="C10">
        <v>65</v>
      </c>
      <c r="D10">
        <v>143</v>
      </c>
      <c r="F10">
        <v>141</v>
      </c>
      <c r="G10">
        <v>151</v>
      </c>
      <c r="I10">
        <v>152</v>
      </c>
      <c r="J10">
        <v>129</v>
      </c>
      <c r="L10">
        <v>115</v>
      </c>
      <c r="N10">
        <v>138.5</v>
      </c>
      <c r="P10">
        <v>128</v>
      </c>
    </row>
    <row r="11" spans="1:16">
      <c r="A11" t="s">
        <v>16</v>
      </c>
      <c r="B11" t="s">
        <v>26</v>
      </c>
      <c r="C11">
        <v>44</v>
      </c>
      <c r="D11">
        <v>68</v>
      </c>
      <c r="F11">
        <v>66</v>
      </c>
      <c r="G11">
        <v>124</v>
      </c>
      <c r="I11">
        <v>70</v>
      </c>
      <c r="J11">
        <v>84</v>
      </c>
      <c r="L11">
        <v>81</v>
      </c>
      <c r="N11">
        <v>82.2</v>
      </c>
      <c r="P11">
        <v>76.7</v>
      </c>
    </row>
    <row r="12" spans="1:16">
      <c r="A12" t="s">
        <v>16</v>
      </c>
      <c r="B12" t="s">
        <v>27</v>
      </c>
      <c r="C12">
        <v>34</v>
      </c>
      <c r="D12">
        <v>103</v>
      </c>
      <c r="F12">
        <v>96</v>
      </c>
      <c r="G12">
        <v>104</v>
      </c>
      <c r="I12">
        <v>116</v>
      </c>
      <c r="J12">
        <v>56</v>
      </c>
      <c r="L12">
        <v>98</v>
      </c>
      <c r="N12">
        <v>95.5</v>
      </c>
      <c r="P12">
        <v>86.7</v>
      </c>
    </row>
    <row r="13" spans="1:16">
      <c r="A13" t="s">
        <v>16</v>
      </c>
      <c r="B13" t="s">
        <v>28</v>
      </c>
      <c r="C13">
        <v>85</v>
      </c>
      <c r="D13">
        <v>105</v>
      </c>
      <c r="F13">
        <v>147</v>
      </c>
      <c r="G13">
        <v>122</v>
      </c>
      <c r="I13">
        <v>129</v>
      </c>
      <c r="J13">
        <v>125</v>
      </c>
      <c r="L13">
        <v>70</v>
      </c>
      <c r="N13">
        <v>116.3</v>
      </c>
      <c r="P13">
        <v>111.9</v>
      </c>
    </row>
    <row r="14" spans="1:16">
      <c r="A14" t="s">
        <v>16</v>
      </c>
      <c r="B14" t="s">
        <v>29</v>
      </c>
      <c r="C14">
        <v>79</v>
      </c>
      <c r="D14">
        <v>31</v>
      </c>
      <c r="F14">
        <v>52</v>
      </c>
      <c r="G14">
        <v>61</v>
      </c>
      <c r="I14">
        <v>26</v>
      </c>
      <c r="J14">
        <v>39</v>
      </c>
      <c r="L14">
        <v>21</v>
      </c>
      <c r="N14">
        <v>38.299999999999997</v>
      </c>
      <c r="P14">
        <v>44.1</v>
      </c>
    </row>
    <row r="15" spans="1:16">
      <c r="A15" t="s">
        <v>16</v>
      </c>
      <c r="B15" t="s">
        <v>30</v>
      </c>
      <c r="C15">
        <v>66</v>
      </c>
      <c r="D15">
        <v>107</v>
      </c>
      <c r="F15">
        <v>96</v>
      </c>
      <c r="G15">
        <v>110</v>
      </c>
      <c r="I15">
        <v>99</v>
      </c>
      <c r="J15">
        <v>118</v>
      </c>
      <c r="L15">
        <v>90</v>
      </c>
      <c r="N15">
        <v>103.3</v>
      </c>
      <c r="P15">
        <v>98</v>
      </c>
    </row>
    <row r="16" spans="1:16">
      <c r="A16" t="s">
        <v>16</v>
      </c>
      <c r="B16" t="s">
        <v>31</v>
      </c>
      <c r="C16">
        <v>29</v>
      </c>
      <c r="D16">
        <v>73</v>
      </c>
      <c r="F16">
        <v>119</v>
      </c>
      <c r="G16">
        <v>89</v>
      </c>
      <c r="I16">
        <v>75</v>
      </c>
      <c r="J16">
        <v>111</v>
      </c>
      <c r="L16">
        <v>112</v>
      </c>
      <c r="N16">
        <v>96.5</v>
      </c>
      <c r="P16">
        <v>86.9</v>
      </c>
    </row>
    <row r="17" spans="1:16">
      <c r="A17" t="s">
        <v>16</v>
      </c>
      <c r="B17" t="s">
        <v>32</v>
      </c>
      <c r="C17">
        <v>56</v>
      </c>
      <c r="D17">
        <v>107</v>
      </c>
      <c r="F17">
        <v>93</v>
      </c>
      <c r="G17">
        <v>112</v>
      </c>
      <c r="I17">
        <v>105</v>
      </c>
      <c r="J17">
        <v>95</v>
      </c>
      <c r="L17">
        <v>88</v>
      </c>
      <c r="N17">
        <v>100</v>
      </c>
      <c r="P17">
        <v>93.7</v>
      </c>
    </row>
    <row r="18" spans="1:16">
      <c r="A18" t="s">
        <v>16</v>
      </c>
      <c r="B18" t="s">
        <v>34</v>
      </c>
      <c r="C18">
        <v>19</v>
      </c>
      <c r="D18">
        <v>57</v>
      </c>
      <c r="F18">
        <v>77</v>
      </c>
      <c r="G18">
        <v>78</v>
      </c>
      <c r="I18">
        <v>59</v>
      </c>
      <c r="J18">
        <v>80</v>
      </c>
      <c r="L18">
        <v>56</v>
      </c>
      <c r="N18">
        <v>67.8</v>
      </c>
      <c r="P18">
        <v>60.9</v>
      </c>
    </row>
    <row r="19" spans="1:16">
      <c r="A19" t="s">
        <v>35</v>
      </c>
      <c r="B19" t="s">
        <v>36</v>
      </c>
      <c r="C19">
        <v>53</v>
      </c>
      <c r="D19">
        <v>77</v>
      </c>
      <c r="F19">
        <v>82</v>
      </c>
      <c r="G19">
        <v>107</v>
      </c>
      <c r="I19">
        <v>91</v>
      </c>
      <c r="J19">
        <v>119</v>
      </c>
      <c r="L19">
        <v>104</v>
      </c>
      <c r="N19">
        <v>96.7</v>
      </c>
      <c r="P19">
        <v>90.4</v>
      </c>
    </row>
    <row r="20" spans="1:16">
      <c r="A20" t="s">
        <v>35</v>
      </c>
      <c r="B20" t="s">
        <v>37</v>
      </c>
      <c r="C20">
        <v>63</v>
      </c>
      <c r="D20">
        <v>115</v>
      </c>
      <c r="F20">
        <v>118</v>
      </c>
      <c r="G20">
        <v>144</v>
      </c>
      <c r="I20">
        <v>69</v>
      </c>
      <c r="J20">
        <v>109</v>
      </c>
      <c r="L20">
        <v>60</v>
      </c>
      <c r="N20">
        <v>102.5</v>
      </c>
      <c r="P20">
        <v>96.9</v>
      </c>
    </row>
    <row r="21" spans="1:16">
      <c r="A21" t="s">
        <v>35</v>
      </c>
      <c r="B21" t="s">
        <v>38</v>
      </c>
      <c r="C21">
        <v>80</v>
      </c>
      <c r="D21">
        <v>98</v>
      </c>
      <c r="F21">
        <v>98</v>
      </c>
      <c r="G21">
        <v>88</v>
      </c>
      <c r="I21">
        <v>90</v>
      </c>
      <c r="J21">
        <v>78</v>
      </c>
      <c r="L21">
        <v>74</v>
      </c>
      <c r="N21">
        <v>87.7</v>
      </c>
      <c r="P21">
        <v>86.6</v>
      </c>
    </row>
    <row r="22" spans="1:16">
      <c r="A22" t="s">
        <v>35</v>
      </c>
      <c r="B22" t="s">
        <v>39</v>
      </c>
      <c r="C22">
        <v>35</v>
      </c>
      <c r="D22">
        <v>84</v>
      </c>
      <c r="F22">
        <v>73</v>
      </c>
      <c r="G22">
        <v>115</v>
      </c>
      <c r="I22">
        <v>54</v>
      </c>
      <c r="J22">
        <v>115</v>
      </c>
      <c r="L22">
        <v>94</v>
      </c>
      <c r="N22">
        <v>89.2</v>
      </c>
      <c r="P22">
        <v>81.400000000000006</v>
      </c>
    </row>
    <row r="23" spans="1:16">
      <c r="A23" t="s">
        <v>35</v>
      </c>
      <c r="B23" t="s">
        <v>40</v>
      </c>
      <c r="C23">
        <v>70</v>
      </c>
      <c r="D23">
        <v>134</v>
      </c>
      <c r="F23">
        <v>74</v>
      </c>
      <c r="G23">
        <v>82</v>
      </c>
      <c r="I23">
        <v>89</v>
      </c>
      <c r="J23">
        <v>73</v>
      </c>
      <c r="L23">
        <v>78</v>
      </c>
      <c r="N23">
        <v>88.3</v>
      </c>
      <c r="P23">
        <v>85.7</v>
      </c>
    </row>
    <row r="24" spans="1:16">
      <c r="A24" t="s">
        <v>35</v>
      </c>
      <c r="B24" t="s">
        <v>41</v>
      </c>
      <c r="C24">
        <v>97</v>
      </c>
      <c r="D24">
        <v>102</v>
      </c>
      <c r="F24">
        <v>126</v>
      </c>
      <c r="G24">
        <v>150</v>
      </c>
      <c r="I24">
        <v>133</v>
      </c>
      <c r="J24">
        <v>104</v>
      </c>
      <c r="L24">
        <v>109</v>
      </c>
      <c r="N24">
        <v>120.7</v>
      </c>
      <c r="P24">
        <v>117.3</v>
      </c>
    </row>
    <row r="25" spans="1:16">
      <c r="A25" t="s">
        <v>35</v>
      </c>
      <c r="B25" t="s">
        <v>42</v>
      </c>
      <c r="C25">
        <v>66</v>
      </c>
      <c r="D25">
        <v>98</v>
      </c>
      <c r="F25">
        <v>73</v>
      </c>
      <c r="G25">
        <v>29</v>
      </c>
      <c r="I25">
        <v>43</v>
      </c>
      <c r="J25">
        <v>60</v>
      </c>
      <c r="L25">
        <v>48</v>
      </c>
      <c r="N25">
        <v>58.5</v>
      </c>
      <c r="P25">
        <v>59.6</v>
      </c>
    </row>
    <row r="26" spans="1:16">
      <c r="A26" t="s">
        <v>35</v>
      </c>
      <c r="B26" t="s">
        <v>43</v>
      </c>
      <c r="C26">
        <v>63</v>
      </c>
      <c r="D26">
        <v>157</v>
      </c>
      <c r="F26">
        <v>45</v>
      </c>
      <c r="G26">
        <v>102</v>
      </c>
      <c r="I26">
        <v>95</v>
      </c>
      <c r="J26">
        <v>94</v>
      </c>
      <c r="L26">
        <v>108</v>
      </c>
      <c r="N26">
        <v>100.2</v>
      </c>
      <c r="P26">
        <v>94.9</v>
      </c>
    </row>
    <row r="27" spans="1:16">
      <c r="A27" t="s">
        <v>35</v>
      </c>
      <c r="B27" t="s">
        <v>44</v>
      </c>
      <c r="C27">
        <v>96</v>
      </c>
      <c r="D27">
        <v>173</v>
      </c>
      <c r="F27">
        <v>170</v>
      </c>
      <c r="G27">
        <v>174</v>
      </c>
      <c r="I27">
        <v>162</v>
      </c>
      <c r="J27">
        <v>177</v>
      </c>
      <c r="L27">
        <v>183</v>
      </c>
      <c r="N27">
        <v>173.2</v>
      </c>
      <c r="P27">
        <v>162.1</v>
      </c>
    </row>
    <row r="28" spans="1:16">
      <c r="A28" t="s">
        <v>35</v>
      </c>
      <c r="B28" t="s">
        <v>45</v>
      </c>
      <c r="C28">
        <v>7</v>
      </c>
      <c r="D28">
        <v>22</v>
      </c>
      <c r="F28">
        <v>82</v>
      </c>
      <c r="G28">
        <v>113</v>
      </c>
      <c r="I28">
        <v>110</v>
      </c>
      <c r="J28">
        <v>113</v>
      </c>
      <c r="L28">
        <v>99</v>
      </c>
      <c r="N28">
        <v>89.8</v>
      </c>
      <c r="P28">
        <v>78</v>
      </c>
    </row>
    <row r="29" spans="1:16">
      <c r="A29" t="s">
        <v>35</v>
      </c>
      <c r="B29" t="s">
        <v>46</v>
      </c>
      <c r="C29">
        <v>34</v>
      </c>
      <c r="D29">
        <v>143</v>
      </c>
      <c r="F29">
        <v>111</v>
      </c>
      <c r="G29">
        <v>128</v>
      </c>
      <c r="I29">
        <v>73</v>
      </c>
      <c r="J29">
        <v>118</v>
      </c>
      <c r="L29">
        <v>95</v>
      </c>
      <c r="N29">
        <v>111.3</v>
      </c>
      <c r="P29">
        <v>100.3</v>
      </c>
    </row>
    <row r="30" spans="1:16">
      <c r="A30" t="s">
        <v>35</v>
      </c>
      <c r="B30" t="s">
        <v>47</v>
      </c>
      <c r="C30">
        <v>83</v>
      </c>
      <c r="D30">
        <v>37</v>
      </c>
      <c r="F30">
        <v>44</v>
      </c>
      <c r="G30">
        <v>20</v>
      </c>
      <c r="I30">
        <v>33</v>
      </c>
      <c r="J30">
        <v>46</v>
      </c>
      <c r="L30">
        <v>30</v>
      </c>
      <c r="N30">
        <v>35</v>
      </c>
      <c r="P30">
        <v>41.9</v>
      </c>
    </row>
    <row r="31" spans="1:16">
      <c r="A31" t="s">
        <v>35</v>
      </c>
      <c r="B31" t="s">
        <v>48</v>
      </c>
      <c r="C31">
        <v>91</v>
      </c>
      <c r="D31">
        <v>111</v>
      </c>
      <c r="F31">
        <v>111</v>
      </c>
      <c r="G31">
        <v>130</v>
      </c>
      <c r="I31">
        <v>89</v>
      </c>
      <c r="J31">
        <v>92</v>
      </c>
      <c r="L31">
        <v>136</v>
      </c>
      <c r="N31">
        <v>111.5</v>
      </c>
      <c r="P31">
        <v>108.6</v>
      </c>
    </row>
    <row r="32" spans="1:16">
      <c r="A32" t="s">
        <v>35</v>
      </c>
      <c r="B32" t="s">
        <v>49</v>
      </c>
      <c r="C32">
        <v>47</v>
      </c>
      <c r="D32">
        <v>78</v>
      </c>
      <c r="F32">
        <v>92</v>
      </c>
      <c r="G32">
        <v>89</v>
      </c>
      <c r="I32">
        <v>109</v>
      </c>
      <c r="J32">
        <v>126</v>
      </c>
      <c r="L32">
        <v>125</v>
      </c>
      <c r="N32">
        <v>103.2</v>
      </c>
      <c r="P32">
        <v>95.1</v>
      </c>
    </row>
    <row r="33" spans="1:16">
      <c r="A33" t="s">
        <v>35</v>
      </c>
      <c r="B33" t="s">
        <v>50</v>
      </c>
      <c r="C33">
        <v>71</v>
      </c>
      <c r="D33">
        <v>90</v>
      </c>
      <c r="F33">
        <v>101</v>
      </c>
      <c r="G33">
        <v>127</v>
      </c>
      <c r="I33">
        <v>106</v>
      </c>
      <c r="J33">
        <v>99</v>
      </c>
      <c r="L33">
        <v>83</v>
      </c>
      <c r="N33">
        <v>101</v>
      </c>
      <c r="P33">
        <v>96.7</v>
      </c>
    </row>
    <row r="34" spans="1:16">
      <c r="A34" t="s">
        <v>35</v>
      </c>
      <c r="B34" t="s">
        <v>51</v>
      </c>
      <c r="C34">
        <v>44</v>
      </c>
      <c r="D34">
        <v>105</v>
      </c>
      <c r="F34">
        <v>110</v>
      </c>
      <c r="G34">
        <v>111</v>
      </c>
      <c r="I34">
        <v>106</v>
      </c>
      <c r="J34">
        <v>107</v>
      </c>
      <c r="L34">
        <v>111</v>
      </c>
      <c r="N34">
        <v>108.3</v>
      </c>
      <c r="P34">
        <v>99.1</v>
      </c>
    </row>
    <row r="35" spans="1:16">
      <c r="A35" t="s">
        <v>35</v>
      </c>
      <c r="B35" t="s">
        <v>52</v>
      </c>
      <c r="C35">
        <v>74</v>
      </c>
      <c r="D35">
        <v>97</v>
      </c>
      <c r="F35">
        <v>58</v>
      </c>
      <c r="G35">
        <v>78</v>
      </c>
      <c r="I35">
        <v>69</v>
      </c>
      <c r="J35">
        <v>83</v>
      </c>
      <c r="L35">
        <v>72</v>
      </c>
      <c r="N35">
        <v>76.2</v>
      </c>
      <c r="P35">
        <v>75.900000000000006</v>
      </c>
    </row>
    <row r="36" spans="1:16">
      <c r="A36" t="s">
        <v>53</v>
      </c>
      <c r="B36" t="s">
        <v>54</v>
      </c>
      <c r="C36">
        <v>37</v>
      </c>
      <c r="E36">
        <v>76</v>
      </c>
      <c r="H36">
        <v>104</v>
      </c>
      <c r="K36">
        <v>81</v>
      </c>
      <c r="M36">
        <v>77</v>
      </c>
      <c r="O36">
        <v>84.5</v>
      </c>
      <c r="P36">
        <v>75</v>
      </c>
    </row>
    <row r="37" spans="1:16">
      <c r="A37" t="s">
        <v>53</v>
      </c>
      <c r="B37" t="s">
        <v>55</v>
      </c>
      <c r="C37">
        <v>81</v>
      </c>
      <c r="E37">
        <v>34</v>
      </c>
      <c r="H37">
        <v>53</v>
      </c>
      <c r="K37">
        <v>37</v>
      </c>
      <c r="M37">
        <v>45</v>
      </c>
      <c r="O37">
        <v>42.2</v>
      </c>
      <c r="P37">
        <v>50</v>
      </c>
    </row>
    <row r="38" spans="1:16">
      <c r="A38" t="s">
        <v>53</v>
      </c>
      <c r="B38" t="s">
        <v>56</v>
      </c>
      <c r="C38">
        <v>64</v>
      </c>
      <c r="E38">
        <v>36</v>
      </c>
      <c r="H38">
        <v>118</v>
      </c>
      <c r="K38">
        <v>121</v>
      </c>
      <c r="M38">
        <v>46</v>
      </c>
      <c r="O38">
        <v>80.2</v>
      </c>
      <c r="P38">
        <v>77</v>
      </c>
    </row>
    <row r="39" spans="1:16">
      <c r="A39" t="s">
        <v>53</v>
      </c>
      <c r="B39" t="s">
        <v>57</v>
      </c>
      <c r="C39">
        <v>25</v>
      </c>
      <c r="E39">
        <v>19</v>
      </c>
      <c r="H39">
        <v>13</v>
      </c>
      <c r="K39">
        <v>32</v>
      </c>
      <c r="M39">
        <v>40</v>
      </c>
      <c r="O39">
        <v>26</v>
      </c>
      <c r="P39">
        <v>25.8</v>
      </c>
    </row>
    <row r="40" spans="1:16">
      <c r="A40" t="s">
        <v>53</v>
      </c>
      <c r="B40" t="s">
        <v>58</v>
      </c>
      <c r="C40">
        <v>62</v>
      </c>
      <c r="E40">
        <v>64</v>
      </c>
      <c r="H40">
        <v>70</v>
      </c>
      <c r="K40">
        <v>56</v>
      </c>
      <c r="M40">
        <v>74</v>
      </c>
      <c r="O40">
        <v>66</v>
      </c>
      <c r="P40">
        <v>65.2</v>
      </c>
    </row>
    <row r="41" spans="1:16">
      <c r="A41" t="s">
        <v>53</v>
      </c>
      <c r="B41" t="s">
        <v>59</v>
      </c>
      <c r="C41">
        <v>66</v>
      </c>
      <c r="E41">
        <v>42</v>
      </c>
      <c r="H41">
        <v>60</v>
      </c>
      <c r="K41">
        <v>70</v>
      </c>
      <c r="M41">
        <v>77</v>
      </c>
      <c r="O41">
        <v>62.2</v>
      </c>
      <c r="P41">
        <v>63</v>
      </c>
    </row>
    <row r="42" spans="1:16">
      <c r="A42" t="s">
        <v>53</v>
      </c>
      <c r="B42" t="s">
        <v>60</v>
      </c>
      <c r="C42">
        <v>45</v>
      </c>
      <c r="E42">
        <v>35</v>
      </c>
      <c r="H42">
        <v>66</v>
      </c>
      <c r="K42">
        <v>72</v>
      </c>
      <c r="M42">
        <v>70</v>
      </c>
      <c r="O42">
        <v>60.8</v>
      </c>
      <c r="P42">
        <v>57.6</v>
      </c>
    </row>
    <row r="43" spans="1:16">
      <c r="A43" t="s">
        <v>53</v>
      </c>
      <c r="B43" t="s">
        <v>61</v>
      </c>
      <c r="C43">
        <v>43</v>
      </c>
      <c r="E43">
        <v>223</v>
      </c>
      <c r="H43">
        <v>74</v>
      </c>
      <c r="K43">
        <v>57</v>
      </c>
      <c r="M43">
        <v>68</v>
      </c>
      <c r="O43">
        <v>105.5</v>
      </c>
      <c r="P43">
        <v>93</v>
      </c>
    </row>
    <row r="44" spans="1:16">
      <c r="A44" t="s">
        <v>53</v>
      </c>
      <c r="B44" t="s">
        <v>62</v>
      </c>
      <c r="C44">
        <v>87</v>
      </c>
      <c r="E44">
        <v>70</v>
      </c>
      <c r="H44">
        <v>49</v>
      </c>
      <c r="K44">
        <v>55</v>
      </c>
      <c r="M44">
        <v>79</v>
      </c>
      <c r="O44">
        <v>63.2</v>
      </c>
      <c r="P44">
        <v>68</v>
      </c>
    </row>
    <row r="45" spans="1:16">
      <c r="A45" t="s">
        <v>53</v>
      </c>
      <c r="B45" t="s">
        <v>63</v>
      </c>
      <c r="C45">
        <v>62</v>
      </c>
      <c r="E45">
        <v>45</v>
      </c>
      <c r="H45">
        <v>106</v>
      </c>
      <c r="K45">
        <v>58</v>
      </c>
      <c r="M45">
        <v>34</v>
      </c>
      <c r="O45">
        <v>60.8</v>
      </c>
      <c r="P45">
        <v>61</v>
      </c>
    </row>
    <row r="46" spans="1:16">
      <c r="A46" t="s">
        <v>53</v>
      </c>
      <c r="B46" t="s">
        <v>64</v>
      </c>
      <c r="C46">
        <v>45</v>
      </c>
      <c r="E46">
        <v>49</v>
      </c>
      <c r="H46">
        <v>62</v>
      </c>
      <c r="K46">
        <v>64</v>
      </c>
      <c r="M46">
        <v>47</v>
      </c>
      <c r="O46">
        <v>55.5</v>
      </c>
      <c r="P46">
        <v>53.4</v>
      </c>
    </row>
    <row r="47" spans="1:16">
      <c r="A47" t="s">
        <v>53</v>
      </c>
      <c r="B47" t="s">
        <v>65</v>
      </c>
      <c r="C47">
        <v>86</v>
      </c>
      <c r="E47">
        <v>98</v>
      </c>
      <c r="H47">
        <v>97</v>
      </c>
      <c r="K47">
        <v>92</v>
      </c>
      <c r="M47">
        <v>112</v>
      </c>
      <c r="O47">
        <v>99.8</v>
      </c>
      <c r="P47">
        <v>97</v>
      </c>
    </row>
    <row r="48" spans="1:16">
      <c r="A48" t="s">
        <v>53</v>
      </c>
      <c r="B48" t="s">
        <v>66</v>
      </c>
      <c r="C48">
        <v>67</v>
      </c>
      <c r="E48">
        <v>52</v>
      </c>
      <c r="H48">
        <v>94</v>
      </c>
      <c r="K48">
        <v>68</v>
      </c>
      <c r="M48">
        <v>90</v>
      </c>
      <c r="O48">
        <v>76</v>
      </c>
      <c r="P48">
        <v>74.2</v>
      </c>
    </row>
    <row r="49" spans="1:16">
      <c r="A49" t="s">
        <v>53</v>
      </c>
      <c r="B49" t="s">
        <v>67</v>
      </c>
      <c r="C49">
        <v>89</v>
      </c>
      <c r="E49">
        <v>55</v>
      </c>
      <c r="H49">
        <v>109</v>
      </c>
      <c r="K49">
        <v>110</v>
      </c>
      <c r="M49">
        <v>109</v>
      </c>
      <c r="O49">
        <v>95.8</v>
      </c>
      <c r="P49">
        <v>94.4</v>
      </c>
    </row>
    <row r="50" spans="1:16">
      <c r="A50" t="s">
        <v>53</v>
      </c>
      <c r="B50" t="s">
        <v>68</v>
      </c>
      <c r="C50">
        <v>89</v>
      </c>
      <c r="E50">
        <v>50</v>
      </c>
      <c r="H50">
        <v>95</v>
      </c>
      <c r="K50">
        <v>111</v>
      </c>
      <c r="M50">
        <v>98</v>
      </c>
      <c r="O50">
        <v>88.5</v>
      </c>
      <c r="P50">
        <v>88.6</v>
      </c>
    </row>
    <row r="51" spans="1:16">
      <c r="A51" t="s">
        <v>53</v>
      </c>
      <c r="B51" t="s">
        <v>69</v>
      </c>
      <c r="C51">
        <v>44</v>
      </c>
      <c r="E51">
        <v>60</v>
      </c>
      <c r="H51">
        <v>43</v>
      </c>
      <c r="K51">
        <v>58</v>
      </c>
      <c r="M51">
        <v>54</v>
      </c>
      <c r="O51">
        <v>53.8</v>
      </c>
      <c r="P51">
        <v>51.8</v>
      </c>
    </row>
    <row r="52" spans="1:16">
      <c r="A52" t="s">
        <v>53</v>
      </c>
      <c r="B52" t="s">
        <v>70</v>
      </c>
      <c r="C52">
        <v>76</v>
      </c>
      <c r="E52">
        <v>52</v>
      </c>
      <c r="H52">
        <v>49</v>
      </c>
      <c r="K52">
        <v>73</v>
      </c>
      <c r="M52">
        <v>43</v>
      </c>
      <c r="O52">
        <v>54.2</v>
      </c>
      <c r="P52">
        <v>58.6</v>
      </c>
    </row>
    <row r="53" spans="1:16">
      <c r="A53" t="s">
        <v>71</v>
      </c>
      <c r="B53" t="s">
        <v>72</v>
      </c>
      <c r="C53">
        <v>36</v>
      </c>
      <c r="E53">
        <v>30</v>
      </c>
      <c r="H53">
        <v>43</v>
      </c>
      <c r="K53">
        <v>37</v>
      </c>
      <c r="M53" s="6">
        <v>444</v>
      </c>
      <c r="O53">
        <v>138.5</v>
      </c>
      <c r="P53">
        <v>118</v>
      </c>
    </row>
    <row r="54" spans="1:16">
      <c r="A54" t="s">
        <v>71</v>
      </c>
      <c r="B54" t="s">
        <v>73</v>
      </c>
      <c r="C54">
        <v>71</v>
      </c>
      <c r="E54">
        <v>31</v>
      </c>
      <c r="H54">
        <v>95</v>
      </c>
      <c r="K54">
        <v>88</v>
      </c>
      <c r="M54">
        <v>97</v>
      </c>
      <c r="O54">
        <v>77.8</v>
      </c>
      <c r="P54">
        <v>76.400000000000006</v>
      </c>
    </row>
    <row r="55" spans="1:16">
      <c r="A55" t="s">
        <v>71</v>
      </c>
      <c r="B55" t="s">
        <v>74</v>
      </c>
      <c r="C55">
        <v>63</v>
      </c>
      <c r="E55">
        <v>65</v>
      </c>
      <c r="H55">
        <v>80</v>
      </c>
      <c r="K55">
        <v>65</v>
      </c>
      <c r="M55">
        <v>64</v>
      </c>
      <c r="O55">
        <v>68.5</v>
      </c>
      <c r="P55">
        <v>67.400000000000006</v>
      </c>
    </row>
    <row r="56" spans="1:16">
      <c r="A56" t="s">
        <v>71</v>
      </c>
      <c r="B56" t="s">
        <v>75</v>
      </c>
      <c r="C56">
        <v>91</v>
      </c>
      <c r="E56">
        <v>64</v>
      </c>
      <c r="H56">
        <v>93</v>
      </c>
      <c r="K56">
        <v>75</v>
      </c>
      <c r="M56">
        <v>64</v>
      </c>
      <c r="O56">
        <v>74</v>
      </c>
      <c r="P56">
        <v>77.400000000000006</v>
      </c>
    </row>
    <row r="57" spans="1:16">
      <c r="A57" t="s">
        <v>71</v>
      </c>
      <c r="B57" t="s">
        <v>76</v>
      </c>
      <c r="C57">
        <v>54</v>
      </c>
      <c r="E57">
        <v>28</v>
      </c>
      <c r="H57">
        <v>50</v>
      </c>
      <c r="K57">
        <v>35</v>
      </c>
      <c r="M57">
        <v>20</v>
      </c>
      <c r="O57">
        <v>33.200000000000003</v>
      </c>
      <c r="P57">
        <v>37.4</v>
      </c>
    </row>
    <row r="58" spans="1:16">
      <c r="A58" t="s">
        <v>71</v>
      </c>
      <c r="B58" t="s">
        <v>77</v>
      </c>
      <c r="C58">
        <v>102</v>
      </c>
      <c r="E58">
        <v>41</v>
      </c>
      <c r="H58">
        <v>77</v>
      </c>
      <c r="K58">
        <v>73</v>
      </c>
      <c r="M58">
        <v>94</v>
      </c>
      <c r="O58">
        <v>71.2</v>
      </c>
      <c r="P58">
        <v>77.400000000000006</v>
      </c>
    </row>
    <row r="59" spans="1:16">
      <c r="A59" t="s">
        <v>71</v>
      </c>
      <c r="B59" t="s">
        <v>78</v>
      </c>
      <c r="C59">
        <v>39</v>
      </c>
      <c r="E59">
        <v>51</v>
      </c>
      <c r="H59">
        <v>57</v>
      </c>
      <c r="K59">
        <v>33</v>
      </c>
      <c r="M59">
        <v>49</v>
      </c>
      <c r="O59">
        <v>47.5</v>
      </c>
      <c r="P59">
        <v>45.8</v>
      </c>
    </row>
    <row r="60" spans="1:16">
      <c r="A60" t="s">
        <v>71</v>
      </c>
      <c r="B60" t="s">
        <v>79</v>
      </c>
      <c r="C60">
        <v>35</v>
      </c>
      <c r="E60">
        <v>22</v>
      </c>
      <c r="H60">
        <v>53</v>
      </c>
      <c r="K60">
        <v>46</v>
      </c>
      <c r="M60">
        <v>51</v>
      </c>
      <c r="O60">
        <v>43</v>
      </c>
      <c r="P60">
        <v>41.4</v>
      </c>
    </row>
    <row r="61" spans="1:16">
      <c r="A61" t="s">
        <v>71</v>
      </c>
      <c r="B61" t="s">
        <v>80</v>
      </c>
      <c r="C61">
        <v>47</v>
      </c>
      <c r="E61">
        <v>67</v>
      </c>
      <c r="H61">
        <v>93</v>
      </c>
      <c r="K61">
        <v>57</v>
      </c>
      <c r="M61">
        <v>62</v>
      </c>
      <c r="O61">
        <v>69.8</v>
      </c>
      <c r="P61">
        <v>65.2</v>
      </c>
    </row>
    <row r="62" spans="1:16">
      <c r="A62" t="s">
        <v>71</v>
      </c>
      <c r="B62" t="s">
        <v>81</v>
      </c>
      <c r="C62">
        <v>50</v>
      </c>
      <c r="E62">
        <v>39</v>
      </c>
      <c r="H62">
        <v>62</v>
      </c>
      <c r="K62">
        <v>66</v>
      </c>
      <c r="M62">
        <v>59</v>
      </c>
      <c r="O62">
        <v>56.5</v>
      </c>
      <c r="P62">
        <v>55.2</v>
      </c>
    </row>
    <row r="63" spans="1:16">
      <c r="A63" t="s">
        <v>71</v>
      </c>
      <c r="B63" t="s">
        <v>83</v>
      </c>
      <c r="C63">
        <v>69</v>
      </c>
      <c r="E63">
        <v>54</v>
      </c>
      <c r="H63">
        <v>72</v>
      </c>
      <c r="K63">
        <v>103</v>
      </c>
      <c r="M63">
        <v>67</v>
      </c>
      <c r="O63">
        <v>74</v>
      </c>
      <c r="P63">
        <v>73</v>
      </c>
    </row>
    <row r="64" spans="1:16">
      <c r="A64" t="s">
        <v>71</v>
      </c>
      <c r="B64" t="s">
        <v>84</v>
      </c>
      <c r="C64">
        <v>40</v>
      </c>
      <c r="E64">
        <v>39</v>
      </c>
      <c r="H64">
        <v>78</v>
      </c>
      <c r="K64">
        <v>58</v>
      </c>
      <c r="M64">
        <v>81</v>
      </c>
      <c r="O64">
        <v>64</v>
      </c>
      <c r="P64">
        <v>59.2</v>
      </c>
    </row>
    <row r="65" spans="1:16">
      <c r="A65" t="s">
        <v>71</v>
      </c>
      <c r="B65" t="s">
        <v>85</v>
      </c>
      <c r="C65">
        <v>66</v>
      </c>
      <c r="E65">
        <v>79</v>
      </c>
      <c r="H65">
        <v>106</v>
      </c>
      <c r="K65">
        <v>63</v>
      </c>
      <c r="M65">
        <v>69</v>
      </c>
      <c r="O65">
        <v>79.2</v>
      </c>
      <c r="P65">
        <v>76.599999999999994</v>
      </c>
    </row>
    <row r="66" spans="1:16">
      <c r="A66" t="s">
        <v>71</v>
      </c>
      <c r="B66" t="s">
        <v>86</v>
      </c>
      <c r="C66">
        <v>40</v>
      </c>
      <c r="E66">
        <v>57</v>
      </c>
      <c r="H66">
        <v>63</v>
      </c>
      <c r="K66">
        <v>60</v>
      </c>
      <c r="M66" s="6">
        <v>444</v>
      </c>
      <c r="O66">
        <v>156</v>
      </c>
      <c r="P66">
        <v>132.80000000000001</v>
      </c>
    </row>
    <row r="67" spans="1:16">
      <c r="A67" t="s">
        <v>71</v>
      </c>
      <c r="B67" t="s">
        <v>87</v>
      </c>
      <c r="C67">
        <v>46</v>
      </c>
      <c r="E67">
        <v>35</v>
      </c>
      <c r="H67">
        <v>47</v>
      </c>
      <c r="K67">
        <v>28</v>
      </c>
      <c r="M67">
        <v>50</v>
      </c>
      <c r="O67">
        <v>40</v>
      </c>
      <c r="P67">
        <v>41.2</v>
      </c>
    </row>
    <row r="68" spans="1:16">
      <c r="A68" t="s">
        <v>71</v>
      </c>
      <c r="B68" t="s">
        <v>88</v>
      </c>
      <c r="C68">
        <v>72</v>
      </c>
      <c r="E68">
        <v>28</v>
      </c>
      <c r="H68">
        <v>46</v>
      </c>
      <c r="K68">
        <v>37</v>
      </c>
      <c r="M68">
        <v>77</v>
      </c>
      <c r="O68">
        <v>47</v>
      </c>
      <c r="P68">
        <v>52</v>
      </c>
    </row>
    <row r="69" spans="1:16">
      <c r="A69" t="s">
        <v>71</v>
      </c>
      <c r="B69" t="s">
        <v>89</v>
      </c>
      <c r="C69">
        <v>68</v>
      </c>
      <c r="E69">
        <v>75</v>
      </c>
      <c r="H69">
        <v>53</v>
      </c>
      <c r="K69">
        <v>71</v>
      </c>
      <c r="M69">
        <v>26</v>
      </c>
      <c r="O69">
        <v>56.2</v>
      </c>
      <c r="P69">
        <v>58.6</v>
      </c>
    </row>
    <row r="81" spans="1:16" s="1" customFormat="1">
      <c r="A81" s="1" t="s">
        <v>16</v>
      </c>
      <c r="B81" s="1" t="s">
        <v>33</v>
      </c>
      <c r="C81" s="1">
        <v>45</v>
      </c>
      <c r="D81" s="1">
        <v>93</v>
      </c>
      <c r="F81" s="1">
        <v>87</v>
      </c>
      <c r="G81" s="1">
        <v>114</v>
      </c>
      <c r="I81" s="1">
        <v>91</v>
      </c>
      <c r="J81" s="1">
        <v>97</v>
      </c>
      <c r="L81" s="1">
        <v>110</v>
      </c>
      <c r="N81" s="1">
        <v>98.7</v>
      </c>
      <c r="P81" s="1">
        <v>91</v>
      </c>
    </row>
    <row r="82" spans="1:16" s="1" customFormat="1">
      <c r="A82" s="1" t="s">
        <v>71</v>
      </c>
      <c r="B82" s="1" t="s">
        <v>82</v>
      </c>
      <c r="C82" s="1">
        <v>78</v>
      </c>
      <c r="E82" s="1">
        <v>64</v>
      </c>
      <c r="H82" s="1">
        <v>73</v>
      </c>
      <c r="K82" s="1">
        <v>74</v>
      </c>
      <c r="M82" s="1">
        <v>62</v>
      </c>
      <c r="O82" s="1">
        <v>68.2</v>
      </c>
      <c r="P82" s="1">
        <v>70.2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72B2-0E27-4FC8-91A2-E0B05F256F52}">
  <dimension ref="A1:Q87"/>
  <sheetViews>
    <sheetView tabSelected="1" workbookViewId="0">
      <selection activeCell="G11" sqref="G11"/>
    </sheetView>
  </sheetViews>
  <sheetFormatPr baseColWidth="10" defaultColWidth="8.83203125" defaultRowHeight="17"/>
  <cols>
    <col min="3" max="3" width="15" bestFit="1" customWidth="1"/>
    <col min="4" max="9" width="17" bestFit="1" customWidth="1"/>
    <col min="10" max="10" width="23" bestFit="1" customWidth="1"/>
    <col min="13" max="13" width="17.83203125" bestFit="1" customWidth="1"/>
    <col min="14" max="14" width="10.5" customWidth="1"/>
  </cols>
  <sheetData>
    <row r="1" spans="1:17">
      <c r="A1" s="2" t="s">
        <v>0</v>
      </c>
      <c r="B1" s="2" t="s">
        <v>1</v>
      </c>
      <c r="C1" s="2" t="s">
        <v>91</v>
      </c>
      <c r="D1" s="2" t="s">
        <v>3</v>
      </c>
      <c r="E1" s="2" t="s">
        <v>5</v>
      </c>
      <c r="F1" s="2" t="s">
        <v>6</v>
      </c>
      <c r="G1" s="2" t="s">
        <v>8</v>
      </c>
      <c r="H1" s="2" t="s">
        <v>9</v>
      </c>
      <c r="I1" s="2" t="s">
        <v>11</v>
      </c>
      <c r="J1" s="3" t="s">
        <v>93</v>
      </c>
      <c r="K1" s="3" t="s">
        <v>103</v>
      </c>
      <c r="M1" s="9"/>
      <c r="N1" s="13" t="s">
        <v>98</v>
      </c>
      <c r="O1" s="13"/>
      <c r="P1" s="13" t="s">
        <v>99</v>
      </c>
      <c r="Q1" s="13"/>
    </row>
    <row r="2" spans="1:17">
      <c r="A2" t="s">
        <v>16</v>
      </c>
      <c r="B2" t="s">
        <v>17</v>
      </c>
      <c r="C2">
        <v>99</v>
      </c>
      <c r="D2">
        <v>87</v>
      </c>
      <c r="E2">
        <v>115</v>
      </c>
      <c r="F2">
        <v>103</v>
      </c>
      <c r="G2">
        <v>114</v>
      </c>
      <c r="H2">
        <v>77</v>
      </c>
      <c r="I2">
        <v>90</v>
      </c>
      <c r="J2" s="4">
        <f>AVERAGE(C2:I2)</f>
        <v>97.857142857142861</v>
      </c>
      <c r="K2" s="4">
        <f>_xlfn.STDEV.S(C2:I2)</f>
        <v>14.12360401866998</v>
      </c>
      <c r="M2" s="9"/>
      <c r="N2" s="12" t="s">
        <v>102</v>
      </c>
      <c r="O2" s="12" t="s">
        <v>103</v>
      </c>
      <c r="P2" s="12" t="s">
        <v>102</v>
      </c>
      <c r="Q2" s="12" t="s">
        <v>103</v>
      </c>
    </row>
    <row r="3" spans="1:17">
      <c r="A3" t="s">
        <v>16</v>
      </c>
      <c r="B3" t="s">
        <v>18</v>
      </c>
      <c r="C3">
        <v>41</v>
      </c>
      <c r="D3">
        <v>120</v>
      </c>
      <c r="E3">
        <v>110</v>
      </c>
      <c r="F3">
        <v>112</v>
      </c>
      <c r="G3">
        <v>121</v>
      </c>
      <c r="H3">
        <v>162</v>
      </c>
      <c r="I3">
        <v>130</v>
      </c>
      <c r="J3" s="4">
        <f t="shared" ref="J3:J18" si="0">AVERAGE(C3:I3)</f>
        <v>113.71428571428571</v>
      </c>
      <c r="K3" s="4">
        <f t="shared" ref="K3:K18" si="1">_xlfn.STDEV.S(C3:I3)</f>
        <v>36.499836920705469</v>
      </c>
      <c r="M3" s="10" t="s">
        <v>100</v>
      </c>
      <c r="N3" s="11">
        <f>AVERAGE(C2:I18,C24:I40)</f>
        <v>91.785714285714292</v>
      </c>
      <c r="O3" s="11">
        <f>_xlfn.STDEV.S(C2:I18,C24:I40)</f>
        <v>34.448522803268432</v>
      </c>
      <c r="P3" s="11">
        <f>AVERAGE(C46:G62,C68:G84)</f>
        <v>67.900000000000006</v>
      </c>
      <c r="Q3" s="11">
        <f>_xlfn.STDEV.S(C46:G62,C68:G84)</f>
        <v>48.547621956519521</v>
      </c>
    </row>
    <row r="4" spans="1:17">
      <c r="A4" t="s">
        <v>16</v>
      </c>
      <c r="B4" t="s">
        <v>19</v>
      </c>
      <c r="C4">
        <v>44</v>
      </c>
      <c r="D4">
        <v>68</v>
      </c>
      <c r="E4">
        <v>93</v>
      </c>
      <c r="F4">
        <v>94</v>
      </c>
      <c r="G4">
        <v>96</v>
      </c>
      <c r="H4">
        <v>52</v>
      </c>
      <c r="I4">
        <v>72</v>
      </c>
      <c r="J4" s="4">
        <f t="shared" si="0"/>
        <v>74.142857142857139</v>
      </c>
      <c r="K4" s="4">
        <f t="shared" si="1"/>
        <v>21.090507907813034</v>
      </c>
      <c r="M4" s="10" t="s">
        <v>101</v>
      </c>
      <c r="N4" s="11">
        <f>AVERAGE(D2:I18,D24:I40)</f>
        <v>96.862745098039213</v>
      </c>
      <c r="O4" s="11">
        <f>_xlfn.STDEV.S(D2:I18,D24:I40)</f>
        <v>33.381520275080213</v>
      </c>
      <c r="P4" s="11">
        <f>AVERAGE(D46:G62,D68:G84)</f>
        <v>69.75</v>
      </c>
      <c r="Q4" s="11">
        <f>_xlfn.STDEV.S(D46:G62,D68:G84)</f>
        <v>53.279660492745464</v>
      </c>
    </row>
    <row r="5" spans="1:17">
      <c r="A5" t="s">
        <v>16</v>
      </c>
      <c r="B5" t="s">
        <v>20</v>
      </c>
      <c r="C5">
        <v>57</v>
      </c>
      <c r="D5">
        <v>46</v>
      </c>
      <c r="E5">
        <v>45</v>
      </c>
      <c r="F5">
        <v>46</v>
      </c>
      <c r="G5">
        <v>70</v>
      </c>
      <c r="H5">
        <v>55</v>
      </c>
      <c r="I5">
        <v>47</v>
      </c>
      <c r="J5" s="4">
        <f t="shared" si="0"/>
        <v>52.285714285714285</v>
      </c>
      <c r="K5" s="4">
        <f t="shared" si="1"/>
        <v>9.159954252329106</v>
      </c>
    </row>
    <row r="6" spans="1:17">
      <c r="A6" t="s">
        <v>16</v>
      </c>
      <c r="B6" t="s">
        <v>21</v>
      </c>
      <c r="C6">
        <v>100</v>
      </c>
      <c r="D6">
        <v>144</v>
      </c>
      <c r="E6">
        <v>167</v>
      </c>
      <c r="F6">
        <v>103</v>
      </c>
      <c r="G6">
        <v>111</v>
      </c>
      <c r="H6">
        <v>102</v>
      </c>
      <c r="I6">
        <v>172</v>
      </c>
      <c r="J6" s="4">
        <f t="shared" si="0"/>
        <v>128.42857142857142</v>
      </c>
      <c r="K6" s="4">
        <f t="shared" si="1"/>
        <v>31.847852585154232</v>
      </c>
    </row>
    <row r="7" spans="1:17">
      <c r="A7" t="s">
        <v>16</v>
      </c>
      <c r="B7" t="s">
        <v>22</v>
      </c>
      <c r="C7">
        <v>58</v>
      </c>
      <c r="D7">
        <v>89</v>
      </c>
      <c r="E7">
        <v>114</v>
      </c>
      <c r="F7">
        <v>97</v>
      </c>
      <c r="G7">
        <v>113</v>
      </c>
      <c r="H7">
        <v>123</v>
      </c>
      <c r="I7">
        <v>110</v>
      </c>
      <c r="J7" s="4">
        <f t="shared" si="0"/>
        <v>100.57142857142857</v>
      </c>
      <c r="K7" s="4">
        <f t="shared" si="1"/>
        <v>21.930626551751359</v>
      </c>
    </row>
    <row r="8" spans="1:17">
      <c r="A8" t="s">
        <v>16</v>
      </c>
      <c r="B8" t="s">
        <v>23</v>
      </c>
      <c r="C8">
        <v>77</v>
      </c>
      <c r="D8">
        <v>103</v>
      </c>
      <c r="E8">
        <v>57</v>
      </c>
      <c r="F8">
        <v>78</v>
      </c>
      <c r="G8">
        <v>56</v>
      </c>
      <c r="H8">
        <v>48</v>
      </c>
      <c r="I8">
        <v>84</v>
      </c>
      <c r="J8" s="4">
        <f t="shared" si="0"/>
        <v>71.857142857142861</v>
      </c>
      <c r="K8" s="4">
        <f t="shared" si="1"/>
        <v>19.24775806363408</v>
      </c>
    </row>
    <row r="9" spans="1:17">
      <c r="A9" t="s">
        <v>16</v>
      </c>
      <c r="B9" t="s">
        <v>24</v>
      </c>
      <c r="C9">
        <v>58</v>
      </c>
      <c r="D9">
        <v>127</v>
      </c>
      <c r="E9">
        <v>129</v>
      </c>
      <c r="F9">
        <v>129</v>
      </c>
      <c r="G9">
        <v>130</v>
      </c>
      <c r="H9">
        <v>147</v>
      </c>
      <c r="I9">
        <v>152</v>
      </c>
      <c r="J9" s="4">
        <f t="shared" si="0"/>
        <v>124.57142857142857</v>
      </c>
      <c r="K9" s="4">
        <f t="shared" si="1"/>
        <v>30.988477121112535</v>
      </c>
    </row>
    <row r="10" spans="1:17">
      <c r="A10" t="s">
        <v>16</v>
      </c>
      <c r="B10" t="s">
        <v>25</v>
      </c>
      <c r="C10">
        <v>65</v>
      </c>
      <c r="D10">
        <v>143</v>
      </c>
      <c r="E10">
        <v>141</v>
      </c>
      <c r="F10">
        <v>151</v>
      </c>
      <c r="G10">
        <v>152</v>
      </c>
      <c r="H10">
        <v>129</v>
      </c>
      <c r="I10">
        <v>115</v>
      </c>
      <c r="J10" s="4">
        <f t="shared" si="0"/>
        <v>128</v>
      </c>
      <c r="K10" s="4">
        <f t="shared" si="1"/>
        <v>30.653982884230015</v>
      </c>
    </row>
    <row r="11" spans="1:17">
      <c r="A11" t="s">
        <v>16</v>
      </c>
      <c r="B11" t="s">
        <v>26</v>
      </c>
      <c r="C11">
        <v>44</v>
      </c>
      <c r="D11">
        <v>68</v>
      </c>
      <c r="E11">
        <v>66</v>
      </c>
      <c r="F11">
        <v>124</v>
      </c>
      <c r="G11">
        <v>70</v>
      </c>
      <c r="H11">
        <v>84</v>
      </c>
      <c r="I11">
        <v>81</v>
      </c>
      <c r="J11" s="4">
        <f t="shared" si="0"/>
        <v>76.714285714285708</v>
      </c>
      <c r="K11" s="4">
        <f t="shared" si="1"/>
        <v>24.540539831839386</v>
      </c>
    </row>
    <row r="12" spans="1:17">
      <c r="A12" t="s">
        <v>16</v>
      </c>
      <c r="B12" t="s">
        <v>27</v>
      </c>
      <c r="C12">
        <v>34</v>
      </c>
      <c r="D12">
        <v>103</v>
      </c>
      <c r="E12">
        <v>96</v>
      </c>
      <c r="F12">
        <v>104</v>
      </c>
      <c r="G12">
        <v>116</v>
      </c>
      <c r="H12">
        <v>56</v>
      </c>
      <c r="I12">
        <v>98</v>
      </c>
      <c r="J12" s="4">
        <f t="shared" si="0"/>
        <v>86.714285714285708</v>
      </c>
      <c r="K12" s="4">
        <f t="shared" si="1"/>
        <v>29.881512041808762</v>
      </c>
    </row>
    <row r="13" spans="1:17">
      <c r="A13" t="s">
        <v>16</v>
      </c>
      <c r="B13" t="s">
        <v>28</v>
      </c>
      <c r="C13">
        <v>85</v>
      </c>
      <c r="D13">
        <v>105</v>
      </c>
      <c r="E13">
        <v>147</v>
      </c>
      <c r="F13">
        <v>122</v>
      </c>
      <c r="G13">
        <v>129</v>
      </c>
      <c r="H13">
        <v>125</v>
      </c>
      <c r="I13">
        <v>70</v>
      </c>
      <c r="J13" s="4">
        <f t="shared" si="0"/>
        <v>111.85714285714286</v>
      </c>
      <c r="K13" s="4">
        <f t="shared" si="1"/>
        <v>26.847896077896387</v>
      </c>
    </row>
    <row r="14" spans="1:17">
      <c r="A14" t="s">
        <v>16</v>
      </c>
      <c r="B14" t="s">
        <v>29</v>
      </c>
      <c r="C14">
        <v>79</v>
      </c>
      <c r="D14">
        <v>31</v>
      </c>
      <c r="E14">
        <v>52</v>
      </c>
      <c r="F14">
        <v>61</v>
      </c>
      <c r="G14">
        <v>26</v>
      </c>
      <c r="H14">
        <v>39</v>
      </c>
      <c r="I14">
        <v>21</v>
      </c>
      <c r="J14" s="4">
        <f t="shared" si="0"/>
        <v>44.142857142857146</v>
      </c>
      <c r="K14" s="4">
        <f t="shared" si="1"/>
        <v>20.915931499127417</v>
      </c>
    </row>
    <row r="15" spans="1:17">
      <c r="A15" t="s">
        <v>16</v>
      </c>
      <c r="B15" t="s">
        <v>30</v>
      </c>
      <c r="C15">
        <v>66</v>
      </c>
      <c r="D15">
        <v>107</v>
      </c>
      <c r="E15">
        <v>96</v>
      </c>
      <c r="F15">
        <v>110</v>
      </c>
      <c r="G15">
        <v>99</v>
      </c>
      <c r="H15">
        <v>118</v>
      </c>
      <c r="I15">
        <v>90</v>
      </c>
      <c r="J15" s="4">
        <f t="shared" si="0"/>
        <v>98</v>
      </c>
      <c r="K15" s="4">
        <f t="shared" si="1"/>
        <v>16.921386861996073</v>
      </c>
    </row>
    <row r="16" spans="1:17">
      <c r="A16" t="s">
        <v>16</v>
      </c>
      <c r="B16" t="s">
        <v>31</v>
      </c>
      <c r="C16">
        <v>29</v>
      </c>
      <c r="D16">
        <v>73</v>
      </c>
      <c r="E16">
        <v>119</v>
      </c>
      <c r="F16">
        <v>89</v>
      </c>
      <c r="G16">
        <v>75</v>
      </c>
      <c r="H16">
        <v>111</v>
      </c>
      <c r="I16">
        <v>112</v>
      </c>
      <c r="J16" s="4">
        <f t="shared" si="0"/>
        <v>86.857142857142861</v>
      </c>
      <c r="K16" s="4">
        <f t="shared" si="1"/>
        <v>31.445341845963835</v>
      </c>
    </row>
    <row r="17" spans="1:12">
      <c r="A17" t="s">
        <v>16</v>
      </c>
      <c r="B17" t="s">
        <v>32</v>
      </c>
      <c r="C17">
        <v>56</v>
      </c>
      <c r="D17">
        <v>107</v>
      </c>
      <c r="E17">
        <v>93</v>
      </c>
      <c r="F17">
        <v>112</v>
      </c>
      <c r="G17">
        <v>105</v>
      </c>
      <c r="H17">
        <v>95</v>
      </c>
      <c r="I17">
        <v>88</v>
      </c>
      <c r="J17" s="4">
        <f t="shared" si="0"/>
        <v>93.714285714285708</v>
      </c>
      <c r="K17" s="4">
        <f t="shared" si="1"/>
        <v>18.687913078728062</v>
      </c>
    </row>
    <row r="18" spans="1:12">
      <c r="A18" t="s">
        <v>16</v>
      </c>
      <c r="B18" t="s">
        <v>34</v>
      </c>
      <c r="C18">
        <v>19</v>
      </c>
      <c r="D18">
        <v>57</v>
      </c>
      <c r="E18">
        <v>77</v>
      </c>
      <c r="F18">
        <v>78</v>
      </c>
      <c r="G18">
        <v>59</v>
      </c>
      <c r="H18">
        <v>80</v>
      </c>
      <c r="I18">
        <v>56</v>
      </c>
      <c r="J18" s="4">
        <f t="shared" si="0"/>
        <v>60.857142857142854</v>
      </c>
      <c r="K18" s="4">
        <f t="shared" si="1"/>
        <v>21.271487735374556</v>
      </c>
    </row>
    <row r="19" spans="1:12">
      <c r="B19">
        <f>COUNTA(B2:B18)</f>
        <v>17</v>
      </c>
    </row>
    <row r="20" spans="1:12">
      <c r="B20" s="3" t="s">
        <v>92</v>
      </c>
      <c r="C20" s="4">
        <f>AVERAGE(C2:C18)</f>
        <v>59.470588235294116</v>
      </c>
      <c r="D20" s="4">
        <f t="shared" ref="D20:I20" si="2">AVERAGE(D2:D18)</f>
        <v>92.82352941176471</v>
      </c>
      <c r="E20" s="4">
        <f t="shared" si="2"/>
        <v>101</v>
      </c>
      <c r="F20" s="4">
        <f t="shared" si="2"/>
        <v>100.76470588235294</v>
      </c>
      <c r="G20" s="4">
        <f t="shared" si="2"/>
        <v>96.588235294117652</v>
      </c>
      <c r="H20" s="4">
        <f t="shared" si="2"/>
        <v>94.294117647058826</v>
      </c>
      <c r="I20" s="4">
        <f t="shared" si="2"/>
        <v>93.411764705882348</v>
      </c>
      <c r="J20" t="s">
        <v>94</v>
      </c>
      <c r="K20" s="5">
        <f>AVERAGE(C2:I18)</f>
        <v>91.193277310924373</v>
      </c>
      <c r="L20" s="8"/>
    </row>
    <row r="21" spans="1:12">
      <c r="B21" s="3" t="s">
        <v>103</v>
      </c>
      <c r="C21" s="7">
        <f>_xlfn.STDEV.S(C2:C18)</f>
        <v>23.286577805301345</v>
      </c>
      <c r="D21" s="7">
        <f t="shared" ref="D21:I21" si="3">_xlfn.STDEV.S(D2:D18)</f>
        <v>32.377143353988259</v>
      </c>
      <c r="E21" s="7">
        <f>_xlfn.STDEV.S(E2:E18)</f>
        <v>34.53078336788785</v>
      </c>
      <c r="F21" s="7">
        <f t="shared" si="3"/>
        <v>25.599144057381828</v>
      </c>
      <c r="G21" s="7">
        <f t="shared" si="3"/>
        <v>32.586536375337232</v>
      </c>
      <c r="H21" s="7">
        <f t="shared" si="3"/>
        <v>36.948891569779107</v>
      </c>
      <c r="I21" s="7">
        <f t="shared" si="3"/>
        <v>37.210648381090813</v>
      </c>
      <c r="J21" t="s">
        <v>104</v>
      </c>
      <c r="K21" s="5">
        <f>_xlfn.STDEV.S(C2:I18)</f>
        <v>34.084460724749967</v>
      </c>
      <c r="L21" s="8"/>
    </row>
    <row r="23" spans="1:12">
      <c r="A23" s="2" t="s">
        <v>0</v>
      </c>
      <c r="B23" s="2" t="s">
        <v>1</v>
      </c>
      <c r="C23" s="2" t="s">
        <v>91</v>
      </c>
      <c r="D23" s="2" t="s">
        <v>3</v>
      </c>
      <c r="E23" s="2" t="s">
        <v>5</v>
      </c>
      <c r="F23" s="2" t="s">
        <v>6</v>
      </c>
      <c r="G23" s="2" t="s">
        <v>8</v>
      </c>
      <c r="H23" s="2" t="s">
        <v>9</v>
      </c>
      <c r="I23" s="2" t="s">
        <v>11</v>
      </c>
      <c r="J23" s="3" t="s">
        <v>93</v>
      </c>
      <c r="K23" s="3" t="s">
        <v>103</v>
      </c>
    </row>
    <row r="24" spans="1:12">
      <c r="A24" t="s">
        <v>35</v>
      </c>
      <c r="B24" t="s">
        <v>36</v>
      </c>
      <c r="C24">
        <v>53</v>
      </c>
      <c r="D24">
        <v>77</v>
      </c>
      <c r="E24">
        <v>82</v>
      </c>
      <c r="F24">
        <v>107</v>
      </c>
      <c r="G24">
        <v>91</v>
      </c>
      <c r="H24">
        <v>119</v>
      </c>
      <c r="I24">
        <v>104</v>
      </c>
      <c r="J24" s="4">
        <f>AVERAGE(C24:I24)</f>
        <v>90.428571428571431</v>
      </c>
      <c r="K24" s="4">
        <f>_xlfn.STDEV.S(C24:I24)</f>
        <v>22.089644201579627</v>
      </c>
    </row>
    <row r="25" spans="1:12">
      <c r="A25" t="s">
        <v>35</v>
      </c>
      <c r="B25" t="s">
        <v>37</v>
      </c>
      <c r="C25">
        <v>63</v>
      </c>
      <c r="D25">
        <v>115</v>
      </c>
      <c r="E25">
        <v>118</v>
      </c>
      <c r="F25">
        <v>144</v>
      </c>
      <c r="G25">
        <v>69</v>
      </c>
      <c r="H25">
        <v>109</v>
      </c>
      <c r="I25">
        <v>60</v>
      </c>
      <c r="J25" s="4">
        <f>AVERAGE(C25:I25)</f>
        <v>96.857142857142861</v>
      </c>
      <c r="K25" s="4">
        <f t="shared" ref="K25:K40" si="4">_xlfn.STDEV.S(C25:I25)</f>
        <v>32.728318886598153</v>
      </c>
    </row>
    <row r="26" spans="1:12">
      <c r="A26" t="s">
        <v>35</v>
      </c>
      <c r="B26" t="s">
        <v>38</v>
      </c>
      <c r="C26">
        <v>80</v>
      </c>
      <c r="D26">
        <v>98</v>
      </c>
      <c r="E26">
        <v>98</v>
      </c>
      <c r="F26">
        <v>88</v>
      </c>
      <c r="G26">
        <v>90</v>
      </c>
      <c r="H26">
        <v>78</v>
      </c>
      <c r="I26">
        <v>74</v>
      </c>
      <c r="J26" s="4">
        <f t="shared" ref="J26:J40" si="5">AVERAGE(C26:I26)</f>
        <v>86.571428571428569</v>
      </c>
      <c r="K26" s="4">
        <f t="shared" si="4"/>
        <v>9.5717839308588193</v>
      </c>
    </row>
    <row r="27" spans="1:12">
      <c r="A27" t="s">
        <v>35</v>
      </c>
      <c r="B27" t="s">
        <v>39</v>
      </c>
      <c r="C27">
        <v>35</v>
      </c>
      <c r="D27">
        <v>84</v>
      </c>
      <c r="E27">
        <v>73</v>
      </c>
      <c r="F27">
        <v>115</v>
      </c>
      <c r="G27">
        <v>54</v>
      </c>
      <c r="H27">
        <v>115</v>
      </c>
      <c r="I27">
        <v>94</v>
      </c>
      <c r="J27" s="4">
        <f t="shared" si="5"/>
        <v>81.428571428571431</v>
      </c>
      <c r="K27" s="4">
        <f t="shared" si="4"/>
        <v>29.993650121634865</v>
      </c>
    </row>
    <row r="28" spans="1:12">
      <c r="A28" t="s">
        <v>35</v>
      </c>
      <c r="B28" t="s">
        <v>40</v>
      </c>
      <c r="C28">
        <v>70</v>
      </c>
      <c r="D28">
        <v>134</v>
      </c>
      <c r="E28">
        <v>74</v>
      </c>
      <c r="F28">
        <v>82</v>
      </c>
      <c r="G28">
        <v>89</v>
      </c>
      <c r="H28">
        <v>73</v>
      </c>
      <c r="I28">
        <v>78</v>
      </c>
      <c r="J28" s="4">
        <f t="shared" si="5"/>
        <v>85.714285714285708</v>
      </c>
      <c r="K28" s="4">
        <f t="shared" si="4"/>
        <v>22.216467508841919</v>
      </c>
    </row>
    <row r="29" spans="1:12">
      <c r="A29" t="s">
        <v>35</v>
      </c>
      <c r="B29" t="s">
        <v>41</v>
      </c>
      <c r="C29">
        <v>97</v>
      </c>
      <c r="D29">
        <v>102</v>
      </c>
      <c r="E29">
        <v>126</v>
      </c>
      <c r="F29">
        <v>150</v>
      </c>
      <c r="G29">
        <v>133</v>
      </c>
      <c r="H29">
        <v>104</v>
      </c>
      <c r="I29">
        <v>109</v>
      </c>
      <c r="J29" s="4">
        <f t="shared" si="5"/>
        <v>117.28571428571429</v>
      </c>
      <c r="K29" s="4">
        <f t="shared" si="4"/>
        <v>19.508240017270332</v>
      </c>
    </row>
    <row r="30" spans="1:12">
      <c r="A30" t="s">
        <v>35</v>
      </c>
      <c r="B30" t="s">
        <v>42</v>
      </c>
      <c r="C30">
        <v>66</v>
      </c>
      <c r="D30">
        <v>98</v>
      </c>
      <c r="E30">
        <v>73</v>
      </c>
      <c r="F30">
        <v>29</v>
      </c>
      <c r="G30">
        <v>43</v>
      </c>
      <c r="H30">
        <v>60</v>
      </c>
      <c r="I30">
        <v>48</v>
      </c>
      <c r="J30" s="4">
        <f t="shared" si="5"/>
        <v>59.571428571428569</v>
      </c>
      <c r="K30" s="4">
        <f t="shared" si="4"/>
        <v>22.515603055489787</v>
      </c>
    </row>
    <row r="31" spans="1:12">
      <c r="A31" t="s">
        <v>35</v>
      </c>
      <c r="B31" t="s">
        <v>43</v>
      </c>
      <c r="C31">
        <v>63</v>
      </c>
      <c r="D31">
        <v>157</v>
      </c>
      <c r="E31">
        <v>45</v>
      </c>
      <c r="F31">
        <v>102</v>
      </c>
      <c r="G31">
        <v>95</v>
      </c>
      <c r="H31">
        <v>94</v>
      </c>
      <c r="I31">
        <v>108</v>
      </c>
      <c r="J31" s="4">
        <f t="shared" si="5"/>
        <v>94.857142857142861</v>
      </c>
      <c r="K31" s="4">
        <f t="shared" si="4"/>
        <v>35.559473990431734</v>
      </c>
    </row>
    <row r="32" spans="1:12">
      <c r="A32" t="s">
        <v>35</v>
      </c>
      <c r="B32" t="s">
        <v>44</v>
      </c>
      <c r="C32">
        <v>96</v>
      </c>
      <c r="D32">
        <v>173</v>
      </c>
      <c r="E32">
        <v>170</v>
      </c>
      <c r="F32">
        <v>174</v>
      </c>
      <c r="G32">
        <v>162</v>
      </c>
      <c r="H32">
        <v>177</v>
      </c>
      <c r="I32">
        <v>183</v>
      </c>
      <c r="J32" s="4">
        <f t="shared" si="5"/>
        <v>162.14285714285714</v>
      </c>
      <c r="K32" s="4">
        <f t="shared" si="4"/>
        <v>29.863180068598215</v>
      </c>
    </row>
    <row r="33" spans="1:12">
      <c r="A33" t="s">
        <v>35</v>
      </c>
      <c r="B33" t="s">
        <v>45</v>
      </c>
      <c r="C33">
        <v>7</v>
      </c>
      <c r="D33">
        <v>22</v>
      </c>
      <c r="E33">
        <v>82</v>
      </c>
      <c r="F33">
        <v>113</v>
      </c>
      <c r="G33">
        <v>110</v>
      </c>
      <c r="H33">
        <v>113</v>
      </c>
      <c r="I33">
        <v>99</v>
      </c>
      <c r="J33" s="4">
        <f t="shared" si="5"/>
        <v>78</v>
      </c>
      <c r="K33" s="4">
        <f t="shared" si="4"/>
        <v>44.922154890432402</v>
      </c>
    </row>
    <row r="34" spans="1:12">
      <c r="A34" t="s">
        <v>35</v>
      </c>
      <c r="B34" t="s">
        <v>46</v>
      </c>
      <c r="C34">
        <v>34</v>
      </c>
      <c r="D34">
        <v>143</v>
      </c>
      <c r="E34">
        <v>111</v>
      </c>
      <c r="F34">
        <v>128</v>
      </c>
      <c r="G34">
        <v>73</v>
      </c>
      <c r="H34">
        <v>118</v>
      </c>
      <c r="I34">
        <v>95</v>
      </c>
      <c r="J34" s="4">
        <f t="shared" si="5"/>
        <v>100.28571428571429</v>
      </c>
      <c r="K34" s="4">
        <f t="shared" si="4"/>
        <v>36.940105963186241</v>
      </c>
    </row>
    <row r="35" spans="1:12">
      <c r="A35" t="s">
        <v>35</v>
      </c>
      <c r="B35" t="s">
        <v>47</v>
      </c>
      <c r="C35">
        <v>83</v>
      </c>
      <c r="D35">
        <v>37</v>
      </c>
      <c r="E35">
        <v>44</v>
      </c>
      <c r="F35">
        <v>20</v>
      </c>
      <c r="G35">
        <v>33</v>
      </c>
      <c r="H35">
        <v>46</v>
      </c>
      <c r="I35">
        <v>30</v>
      </c>
      <c r="J35" s="4">
        <f t="shared" si="5"/>
        <v>41.857142857142854</v>
      </c>
      <c r="K35" s="4">
        <f t="shared" si="4"/>
        <v>20.144714537801818</v>
      </c>
    </row>
    <row r="36" spans="1:12">
      <c r="A36" t="s">
        <v>35</v>
      </c>
      <c r="B36" t="s">
        <v>48</v>
      </c>
      <c r="C36">
        <v>91</v>
      </c>
      <c r="D36">
        <v>111</v>
      </c>
      <c r="E36">
        <v>111</v>
      </c>
      <c r="F36">
        <v>130</v>
      </c>
      <c r="G36">
        <v>89</v>
      </c>
      <c r="H36">
        <v>92</v>
      </c>
      <c r="I36">
        <v>136</v>
      </c>
      <c r="J36" s="4">
        <f t="shared" si="5"/>
        <v>108.57142857142857</v>
      </c>
      <c r="K36" s="4">
        <f t="shared" si="4"/>
        <v>19.103726886458087</v>
      </c>
    </row>
    <row r="37" spans="1:12">
      <c r="A37" t="s">
        <v>35</v>
      </c>
      <c r="B37" t="s">
        <v>49</v>
      </c>
      <c r="C37">
        <v>47</v>
      </c>
      <c r="D37">
        <v>78</v>
      </c>
      <c r="E37">
        <v>92</v>
      </c>
      <c r="F37">
        <v>89</v>
      </c>
      <c r="G37">
        <v>109</v>
      </c>
      <c r="H37">
        <v>126</v>
      </c>
      <c r="I37">
        <v>125</v>
      </c>
      <c r="J37" s="4">
        <f t="shared" si="5"/>
        <v>95.142857142857139</v>
      </c>
      <c r="K37" s="4">
        <f t="shared" si="4"/>
        <v>27.972775880777203</v>
      </c>
    </row>
    <row r="38" spans="1:12">
      <c r="A38" t="s">
        <v>35</v>
      </c>
      <c r="B38" t="s">
        <v>50</v>
      </c>
      <c r="C38">
        <v>71</v>
      </c>
      <c r="D38">
        <v>90</v>
      </c>
      <c r="E38">
        <v>101</v>
      </c>
      <c r="F38">
        <v>127</v>
      </c>
      <c r="G38">
        <v>106</v>
      </c>
      <c r="H38">
        <v>99</v>
      </c>
      <c r="I38">
        <v>83</v>
      </c>
      <c r="J38" s="4">
        <f t="shared" si="5"/>
        <v>96.714285714285708</v>
      </c>
      <c r="K38" s="4">
        <f t="shared" si="4"/>
        <v>17.895197546774817</v>
      </c>
    </row>
    <row r="39" spans="1:12">
      <c r="A39" t="s">
        <v>35</v>
      </c>
      <c r="B39" t="s">
        <v>51</v>
      </c>
      <c r="C39">
        <v>44</v>
      </c>
      <c r="D39">
        <v>105</v>
      </c>
      <c r="E39">
        <v>110</v>
      </c>
      <c r="F39">
        <v>111</v>
      </c>
      <c r="G39">
        <v>106</v>
      </c>
      <c r="H39">
        <v>107</v>
      </c>
      <c r="I39">
        <v>111</v>
      </c>
      <c r="J39" s="4">
        <f t="shared" si="5"/>
        <v>99.142857142857139</v>
      </c>
      <c r="K39" s="4">
        <f t="shared" si="4"/>
        <v>24.436506647695317</v>
      </c>
    </row>
    <row r="40" spans="1:12">
      <c r="A40" t="s">
        <v>35</v>
      </c>
      <c r="B40" t="s">
        <v>52</v>
      </c>
      <c r="C40">
        <v>74</v>
      </c>
      <c r="D40">
        <v>97</v>
      </c>
      <c r="E40">
        <v>58</v>
      </c>
      <c r="F40">
        <v>78</v>
      </c>
      <c r="G40">
        <v>69</v>
      </c>
      <c r="H40">
        <v>83</v>
      </c>
      <c r="I40">
        <v>72</v>
      </c>
      <c r="J40" s="4">
        <f t="shared" si="5"/>
        <v>75.857142857142861</v>
      </c>
      <c r="K40" s="4">
        <f t="shared" si="4"/>
        <v>12.157694016939404</v>
      </c>
    </row>
    <row r="41" spans="1:12">
      <c r="B41">
        <f>COUNTA(B24:B40)</f>
        <v>17</v>
      </c>
    </row>
    <row r="42" spans="1:12">
      <c r="B42" s="3" t="s">
        <v>92</v>
      </c>
      <c r="C42" s="4">
        <f>AVERAGE(C24:C40)</f>
        <v>63.176470588235297</v>
      </c>
      <c r="D42" s="4">
        <f t="shared" ref="D42:I42" si="6">AVERAGE(D24:D40)</f>
        <v>101.23529411764706</v>
      </c>
      <c r="E42" s="4">
        <f t="shared" si="6"/>
        <v>92.235294117647058</v>
      </c>
      <c r="F42" s="4">
        <f t="shared" si="6"/>
        <v>105.11764705882354</v>
      </c>
      <c r="G42" s="4">
        <f t="shared" si="6"/>
        <v>89.470588235294116</v>
      </c>
      <c r="H42" s="4">
        <f t="shared" si="6"/>
        <v>100.76470588235294</v>
      </c>
      <c r="I42" s="4">
        <f t="shared" si="6"/>
        <v>94.647058823529406</v>
      </c>
      <c r="J42" t="s">
        <v>95</v>
      </c>
      <c r="K42" s="5">
        <f>AVERAGE(C24:I40)</f>
        <v>92.378151260504197</v>
      </c>
      <c r="L42" s="8"/>
    </row>
    <row r="43" spans="1:12">
      <c r="B43" s="3" t="s">
        <v>103</v>
      </c>
      <c r="C43" s="4">
        <f>_xlfn.STDEV.S(C24:C40)</f>
        <v>24.287947870594301</v>
      </c>
      <c r="D43" s="4">
        <f t="shared" ref="D43:I43" si="7">_xlfn.STDEV.S(D24:D40)</f>
        <v>38.218989736393965</v>
      </c>
      <c r="E43" s="4">
        <f t="shared" si="7"/>
        <v>31.615916505307691</v>
      </c>
      <c r="F43" s="4">
        <f t="shared" si="7"/>
        <v>39.498231531521093</v>
      </c>
      <c r="G43" s="4">
        <f t="shared" si="7"/>
        <v>31.873024736951987</v>
      </c>
      <c r="H43" s="4">
        <f t="shared" si="7"/>
        <v>29.515947832834158</v>
      </c>
      <c r="I43" s="4">
        <f t="shared" si="7"/>
        <v>35.447040032403599</v>
      </c>
      <c r="J43" t="s">
        <v>105</v>
      </c>
      <c r="K43" s="5">
        <f>_xlfn.STDEV.S(C24:I40)</f>
        <v>34.942808381269906</v>
      </c>
    </row>
    <row r="45" spans="1:12">
      <c r="A45" s="2" t="s">
        <v>0</v>
      </c>
      <c r="B45" s="2" t="s">
        <v>1</v>
      </c>
      <c r="C45" s="2" t="s">
        <v>2</v>
      </c>
      <c r="D45" s="2" t="s">
        <v>4</v>
      </c>
      <c r="E45" s="2" t="s">
        <v>7</v>
      </c>
      <c r="F45" s="2" t="s">
        <v>10</v>
      </c>
      <c r="G45" s="2" t="s">
        <v>12</v>
      </c>
      <c r="H45" s="3" t="s">
        <v>93</v>
      </c>
      <c r="I45" s="3" t="s">
        <v>103</v>
      </c>
    </row>
    <row r="46" spans="1:12">
      <c r="A46" t="s">
        <v>53</v>
      </c>
      <c r="B46" t="s">
        <v>54</v>
      </c>
      <c r="C46">
        <v>37</v>
      </c>
      <c r="D46">
        <v>76</v>
      </c>
      <c r="E46">
        <v>104</v>
      </c>
      <c r="F46">
        <v>81</v>
      </c>
      <c r="G46">
        <v>77</v>
      </c>
      <c r="H46" s="4">
        <f>AVERAGE(C46:G46)</f>
        <v>75</v>
      </c>
      <c r="I46" s="4">
        <f>_xlfn.STDEV.S(C46:G46)</f>
        <v>24.114311103574988</v>
      </c>
    </row>
    <row r="47" spans="1:12">
      <c r="A47" t="s">
        <v>53</v>
      </c>
      <c r="B47" t="s">
        <v>55</v>
      </c>
      <c r="C47">
        <v>81</v>
      </c>
      <c r="D47">
        <v>34</v>
      </c>
      <c r="E47">
        <v>53</v>
      </c>
      <c r="F47">
        <v>37</v>
      </c>
      <c r="G47">
        <v>45</v>
      </c>
      <c r="H47" s="4">
        <f t="shared" ref="H47:H62" si="8">AVERAGE(C47:G47)</f>
        <v>50</v>
      </c>
      <c r="I47" s="4">
        <f t="shared" ref="I47:I62" si="9">_xlfn.STDEV.S(C47:G47)</f>
        <v>18.841443681416774</v>
      </c>
    </row>
    <row r="48" spans="1:12">
      <c r="A48" t="s">
        <v>53</v>
      </c>
      <c r="B48" t="s">
        <v>56</v>
      </c>
      <c r="C48">
        <v>64</v>
      </c>
      <c r="D48">
        <v>36</v>
      </c>
      <c r="E48">
        <v>118</v>
      </c>
      <c r="F48">
        <v>121</v>
      </c>
      <c r="G48">
        <v>46</v>
      </c>
      <c r="H48" s="4">
        <f t="shared" si="8"/>
        <v>77</v>
      </c>
      <c r="I48" s="4">
        <f t="shared" si="9"/>
        <v>40.087404505654888</v>
      </c>
    </row>
    <row r="49" spans="1:12">
      <c r="A49" t="s">
        <v>53</v>
      </c>
      <c r="B49" t="s">
        <v>57</v>
      </c>
      <c r="C49">
        <v>25</v>
      </c>
      <c r="D49">
        <v>19</v>
      </c>
      <c r="E49">
        <v>13</v>
      </c>
      <c r="F49">
        <v>32</v>
      </c>
      <c r="G49">
        <v>40</v>
      </c>
      <c r="H49" s="4">
        <f t="shared" si="8"/>
        <v>25.8</v>
      </c>
      <c r="I49" s="4">
        <f t="shared" si="9"/>
        <v>10.616025621672174</v>
      </c>
    </row>
    <row r="50" spans="1:12">
      <c r="A50" t="s">
        <v>53</v>
      </c>
      <c r="B50" t="s">
        <v>58</v>
      </c>
      <c r="C50">
        <v>62</v>
      </c>
      <c r="D50">
        <v>64</v>
      </c>
      <c r="E50">
        <v>70</v>
      </c>
      <c r="F50">
        <v>56</v>
      </c>
      <c r="G50">
        <v>74</v>
      </c>
      <c r="H50" s="4">
        <f t="shared" si="8"/>
        <v>65.2</v>
      </c>
      <c r="I50" s="4">
        <f t="shared" si="9"/>
        <v>7.0142711667000732</v>
      </c>
    </row>
    <row r="51" spans="1:12">
      <c r="A51" t="s">
        <v>53</v>
      </c>
      <c r="B51" t="s">
        <v>59</v>
      </c>
      <c r="C51">
        <v>66</v>
      </c>
      <c r="D51">
        <v>42</v>
      </c>
      <c r="E51">
        <v>60</v>
      </c>
      <c r="F51">
        <v>70</v>
      </c>
      <c r="G51">
        <v>77</v>
      </c>
      <c r="H51" s="4">
        <f t="shared" si="8"/>
        <v>63</v>
      </c>
      <c r="I51" s="4">
        <f t="shared" si="9"/>
        <v>13.266499161421599</v>
      </c>
    </row>
    <row r="52" spans="1:12">
      <c r="A52" t="s">
        <v>53</v>
      </c>
      <c r="B52" t="s">
        <v>60</v>
      </c>
      <c r="C52">
        <v>45</v>
      </c>
      <c r="D52">
        <v>35</v>
      </c>
      <c r="E52">
        <v>66</v>
      </c>
      <c r="F52">
        <v>72</v>
      </c>
      <c r="G52">
        <v>70</v>
      </c>
      <c r="H52" s="4">
        <f t="shared" si="8"/>
        <v>57.6</v>
      </c>
      <c r="I52" s="4">
        <f t="shared" si="9"/>
        <v>16.592166826548009</v>
      </c>
    </row>
    <row r="53" spans="1:12">
      <c r="A53" t="s">
        <v>53</v>
      </c>
      <c r="B53" t="s">
        <v>61</v>
      </c>
      <c r="C53">
        <v>43</v>
      </c>
      <c r="D53">
        <v>223</v>
      </c>
      <c r="E53">
        <v>74</v>
      </c>
      <c r="F53">
        <v>57</v>
      </c>
      <c r="G53">
        <v>68</v>
      </c>
      <c r="H53" s="4">
        <f t="shared" si="8"/>
        <v>93</v>
      </c>
      <c r="I53" s="4">
        <f t="shared" si="9"/>
        <v>73.624044985317127</v>
      </c>
    </row>
    <row r="54" spans="1:12">
      <c r="A54" t="s">
        <v>53</v>
      </c>
      <c r="B54" t="s">
        <v>62</v>
      </c>
      <c r="C54">
        <v>87</v>
      </c>
      <c r="D54">
        <v>70</v>
      </c>
      <c r="E54">
        <v>49</v>
      </c>
      <c r="F54">
        <v>55</v>
      </c>
      <c r="G54">
        <v>79</v>
      </c>
      <c r="H54" s="4">
        <f t="shared" si="8"/>
        <v>68</v>
      </c>
      <c r="I54" s="4">
        <f t="shared" si="9"/>
        <v>15.937377450509228</v>
      </c>
    </row>
    <row r="55" spans="1:12">
      <c r="A55" t="s">
        <v>53</v>
      </c>
      <c r="B55" t="s">
        <v>63</v>
      </c>
      <c r="C55">
        <v>62</v>
      </c>
      <c r="D55">
        <v>45</v>
      </c>
      <c r="E55">
        <v>106</v>
      </c>
      <c r="F55">
        <v>58</v>
      </c>
      <c r="G55">
        <v>34</v>
      </c>
      <c r="H55" s="4">
        <f t="shared" si="8"/>
        <v>61</v>
      </c>
      <c r="I55" s="4">
        <f t="shared" si="9"/>
        <v>27.477263328068172</v>
      </c>
    </row>
    <row r="56" spans="1:12">
      <c r="A56" t="s">
        <v>53</v>
      </c>
      <c r="B56" t="s">
        <v>64</v>
      </c>
      <c r="C56">
        <v>45</v>
      </c>
      <c r="D56">
        <v>49</v>
      </c>
      <c r="E56">
        <v>62</v>
      </c>
      <c r="F56">
        <v>64</v>
      </c>
      <c r="G56">
        <v>47</v>
      </c>
      <c r="H56" s="4">
        <f t="shared" si="8"/>
        <v>53.4</v>
      </c>
      <c r="I56" s="4">
        <f t="shared" si="9"/>
        <v>8.9050547443572849</v>
      </c>
    </row>
    <row r="57" spans="1:12">
      <c r="A57" t="s">
        <v>53</v>
      </c>
      <c r="B57" t="s">
        <v>65</v>
      </c>
      <c r="C57">
        <v>86</v>
      </c>
      <c r="D57">
        <v>98</v>
      </c>
      <c r="E57">
        <v>97</v>
      </c>
      <c r="F57">
        <v>92</v>
      </c>
      <c r="G57">
        <v>112</v>
      </c>
      <c r="H57" s="4">
        <f t="shared" si="8"/>
        <v>97</v>
      </c>
      <c r="I57" s="4">
        <f t="shared" si="9"/>
        <v>9.6436507609929549</v>
      </c>
    </row>
    <row r="58" spans="1:12">
      <c r="A58" t="s">
        <v>53</v>
      </c>
      <c r="B58" t="s">
        <v>66</v>
      </c>
      <c r="C58">
        <v>67</v>
      </c>
      <c r="D58">
        <v>52</v>
      </c>
      <c r="E58">
        <v>94</v>
      </c>
      <c r="F58">
        <v>68</v>
      </c>
      <c r="G58">
        <v>90</v>
      </c>
      <c r="H58" s="4">
        <f t="shared" si="8"/>
        <v>74.2</v>
      </c>
      <c r="I58" s="4">
        <f t="shared" si="9"/>
        <v>17.498571370257626</v>
      </c>
    </row>
    <row r="59" spans="1:12">
      <c r="A59" t="s">
        <v>53</v>
      </c>
      <c r="B59" t="s">
        <v>67</v>
      </c>
      <c r="C59">
        <v>89</v>
      </c>
      <c r="D59">
        <v>55</v>
      </c>
      <c r="E59">
        <v>109</v>
      </c>
      <c r="F59">
        <v>110</v>
      </c>
      <c r="G59">
        <v>109</v>
      </c>
      <c r="H59" s="4">
        <f t="shared" si="8"/>
        <v>94.4</v>
      </c>
      <c r="I59" s="4">
        <f t="shared" si="9"/>
        <v>23.723406163533923</v>
      </c>
    </row>
    <row r="60" spans="1:12">
      <c r="A60" t="s">
        <v>53</v>
      </c>
      <c r="B60" t="s">
        <v>68</v>
      </c>
      <c r="C60">
        <v>89</v>
      </c>
      <c r="D60">
        <v>50</v>
      </c>
      <c r="E60">
        <v>95</v>
      </c>
      <c r="F60">
        <v>111</v>
      </c>
      <c r="G60">
        <v>98</v>
      </c>
      <c r="H60" s="4">
        <f t="shared" si="8"/>
        <v>88.6</v>
      </c>
      <c r="I60" s="4">
        <f t="shared" si="9"/>
        <v>23.02824352832841</v>
      </c>
    </row>
    <row r="61" spans="1:12">
      <c r="A61" t="s">
        <v>53</v>
      </c>
      <c r="B61" t="s">
        <v>69</v>
      </c>
      <c r="C61">
        <v>44</v>
      </c>
      <c r="D61">
        <v>60</v>
      </c>
      <c r="E61">
        <v>43</v>
      </c>
      <c r="F61">
        <v>58</v>
      </c>
      <c r="G61">
        <v>54</v>
      </c>
      <c r="H61" s="4">
        <f t="shared" si="8"/>
        <v>51.8</v>
      </c>
      <c r="I61" s="4">
        <f t="shared" si="9"/>
        <v>7.8866976612521302</v>
      </c>
    </row>
    <row r="62" spans="1:12">
      <c r="A62" t="s">
        <v>53</v>
      </c>
      <c r="B62" t="s">
        <v>70</v>
      </c>
      <c r="C62">
        <v>76</v>
      </c>
      <c r="D62">
        <v>52</v>
      </c>
      <c r="E62">
        <v>49</v>
      </c>
      <c r="F62">
        <v>73</v>
      </c>
      <c r="G62">
        <v>43</v>
      </c>
      <c r="H62" s="4">
        <f t="shared" si="8"/>
        <v>58.6</v>
      </c>
      <c r="I62" s="4">
        <f t="shared" si="9"/>
        <v>14.909728367747018</v>
      </c>
    </row>
    <row r="63" spans="1:12">
      <c r="B63">
        <f>COUNTA(B46:B62)</f>
        <v>17</v>
      </c>
    </row>
    <row r="64" spans="1:12">
      <c r="B64" s="3" t="s">
        <v>92</v>
      </c>
      <c r="C64" s="4">
        <f>AVERAGE(C46:C62)</f>
        <v>62.823529411764703</v>
      </c>
      <c r="D64" s="4">
        <f t="shared" ref="D64:G64" si="10">AVERAGE(D46:D62)</f>
        <v>62.352941176470587</v>
      </c>
      <c r="E64" s="4">
        <f t="shared" si="10"/>
        <v>74.235294117647058</v>
      </c>
      <c r="F64" s="4">
        <f t="shared" si="10"/>
        <v>71.470588235294116</v>
      </c>
      <c r="G64" s="4">
        <f t="shared" si="10"/>
        <v>68.411764705882348</v>
      </c>
      <c r="J64" t="s">
        <v>96</v>
      </c>
      <c r="K64" s="5">
        <f>AVERAGE(C46:G62)</f>
        <v>67.858823529411765</v>
      </c>
      <c r="L64" s="8"/>
    </row>
    <row r="65" spans="1:11">
      <c r="B65" s="3" t="s">
        <v>103</v>
      </c>
      <c r="C65" s="4">
        <f>_xlfn.STDEV.S(C46:C62)</f>
        <v>20.165674096461697</v>
      </c>
      <c r="D65" s="4">
        <f t="shared" ref="D65:G65" si="11">_xlfn.STDEV.S(D46:D62)</f>
        <v>45.257514813109474</v>
      </c>
      <c r="E65" s="4">
        <f t="shared" si="11"/>
        <v>28.773966992241238</v>
      </c>
      <c r="F65" s="4">
        <f t="shared" si="11"/>
        <v>24.892563264604817</v>
      </c>
      <c r="G65" s="4">
        <f t="shared" si="11"/>
        <v>24.413261825105973</v>
      </c>
      <c r="J65" t="s">
        <v>106</v>
      </c>
      <c r="K65" s="5">
        <f>_xlfn.STDEV.S(C46:G62)</f>
        <v>29.648798635091467</v>
      </c>
    </row>
    <row r="67" spans="1:11">
      <c r="A67" s="2" t="s">
        <v>0</v>
      </c>
      <c r="B67" s="2" t="s">
        <v>1</v>
      </c>
      <c r="C67" s="2" t="s">
        <v>2</v>
      </c>
      <c r="D67" s="2" t="s">
        <v>4</v>
      </c>
      <c r="E67" s="2" t="s">
        <v>7</v>
      </c>
      <c r="F67" s="2" t="s">
        <v>10</v>
      </c>
      <c r="G67" s="2" t="s">
        <v>12</v>
      </c>
      <c r="H67" s="3" t="s">
        <v>93</v>
      </c>
      <c r="I67" s="3" t="s">
        <v>103</v>
      </c>
    </row>
    <row r="68" spans="1:11">
      <c r="A68" t="s">
        <v>71</v>
      </c>
      <c r="B68" t="s">
        <v>72</v>
      </c>
      <c r="C68">
        <v>36</v>
      </c>
      <c r="D68">
        <v>30</v>
      </c>
      <c r="E68">
        <v>43</v>
      </c>
      <c r="F68">
        <v>37</v>
      </c>
      <c r="G68" s="6">
        <v>444</v>
      </c>
      <c r="H68" s="4">
        <f>AVERAGE(C68:G68)</f>
        <v>118</v>
      </c>
      <c r="I68" s="4">
        <f>_xlfn.STDEV.S(C68:G68)</f>
        <v>182.29783322903211</v>
      </c>
    </row>
    <row r="69" spans="1:11">
      <c r="A69" t="s">
        <v>71</v>
      </c>
      <c r="B69" t="s">
        <v>73</v>
      </c>
      <c r="C69">
        <v>71</v>
      </c>
      <c r="D69">
        <v>31</v>
      </c>
      <c r="E69">
        <v>95</v>
      </c>
      <c r="F69">
        <v>88</v>
      </c>
      <c r="G69">
        <v>97</v>
      </c>
      <c r="H69" s="4">
        <f t="shared" ref="H69:H84" si="12">AVERAGE(C69:G69)</f>
        <v>76.400000000000006</v>
      </c>
      <c r="I69" s="4">
        <f t="shared" ref="I69:I84" si="13">_xlfn.STDEV.S(C69:G69)</f>
        <v>27.364210202379315</v>
      </c>
    </row>
    <row r="70" spans="1:11">
      <c r="A70" t="s">
        <v>71</v>
      </c>
      <c r="B70" t="s">
        <v>74</v>
      </c>
      <c r="C70">
        <v>63</v>
      </c>
      <c r="D70">
        <v>65</v>
      </c>
      <c r="E70">
        <v>80</v>
      </c>
      <c r="F70">
        <v>65</v>
      </c>
      <c r="G70">
        <v>64</v>
      </c>
      <c r="H70" s="4">
        <f t="shared" si="12"/>
        <v>67.400000000000006</v>
      </c>
      <c r="I70" s="4">
        <f t="shared" si="13"/>
        <v>7.0922492905988577</v>
      </c>
    </row>
    <row r="71" spans="1:11">
      <c r="A71" t="s">
        <v>71</v>
      </c>
      <c r="B71" t="s">
        <v>75</v>
      </c>
      <c r="C71">
        <v>91</v>
      </c>
      <c r="D71">
        <v>64</v>
      </c>
      <c r="E71">
        <v>93</v>
      </c>
      <c r="F71">
        <v>75</v>
      </c>
      <c r="G71">
        <v>64</v>
      </c>
      <c r="H71" s="4">
        <f t="shared" si="12"/>
        <v>77.400000000000006</v>
      </c>
      <c r="I71" s="4">
        <f t="shared" si="13"/>
        <v>14.081903280451836</v>
      </c>
    </row>
    <row r="72" spans="1:11">
      <c r="A72" t="s">
        <v>71</v>
      </c>
      <c r="B72" t="s">
        <v>76</v>
      </c>
      <c r="C72">
        <v>54</v>
      </c>
      <c r="D72">
        <v>28</v>
      </c>
      <c r="E72">
        <v>50</v>
      </c>
      <c r="F72">
        <v>35</v>
      </c>
      <c r="G72">
        <v>20</v>
      </c>
      <c r="H72" s="4">
        <f t="shared" si="12"/>
        <v>37.4</v>
      </c>
      <c r="I72" s="4">
        <f t="shared" si="13"/>
        <v>14.415269681833911</v>
      </c>
    </row>
    <row r="73" spans="1:11">
      <c r="A73" t="s">
        <v>71</v>
      </c>
      <c r="B73" t="s">
        <v>77</v>
      </c>
      <c r="C73">
        <v>102</v>
      </c>
      <c r="D73">
        <v>41</v>
      </c>
      <c r="E73">
        <v>77</v>
      </c>
      <c r="F73">
        <v>73</v>
      </c>
      <c r="G73">
        <v>94</v>
      </c>
      <c r="H73" s="4">
        <f t="shared" si="12"/>
        <v>77.400000000000006</v>
      </c>
      <c r="I73" s="4">
        <f t="shared" si="13"/>
        <v>23.586012804202412</v>
      </c>
    </row>
    <row r="74" spans="1:11">
      <c r="A74" t="s">
        <v>71</v>
      </c>
      <c r="B74" t="s">
        <v>78</v>
      </c>
      <c r="C74">
        <v>39</v>
      </c>
      <c r="D74">
        <v>51</v>
      </c>
      <c r="E74">
        <v>57</v>
      </c>
      <c r="F74">
        <v>33</v>
      </c>
      <c r="G74">
        <v>49</v>
      </c>
      <c r="H74" s="4">
        <f t="shared" si="12"/>
        <v>45.8</v>
      </c>
      <c r="I74" s="4">
        <f t="shared" si="13"/>
        <v>9.6540147089177264</v>
      </c>
    </row>
    <row r="75" spans="1:11">
      <c r="A75" t="s">
        <v>71</v>
      </c>
      <c r="B75" t="s">
        <v>79</v>
      </c>
      <c r="C75">
        <v>35</v>
      </c>
      <c r="D75">
        <v>22</v>
      </c>
      <c r="E75">
        <v>53</v>
      </c>
      <c r="F75">
        <v>46</v>
      </c>
      <c r="G75">
        <v>51</v>
      </c>
      <c r="H75" s="4">
        <f t="shared" si="12"/>
        <v>41.4</v>
      </c>
      <c r="I75" s="4">
        <f t="shared" si="13"/>
        <v>12.895735729302155</v>
      </c>
    </row>
    <row r="76" spans="1:11">
      <c r="A76" t="s">
        <v>71</v>
      </c>
      <c r="B76" t="s">
        <v>80</v>
      </c>
      <c r="C76">
        <v>47</v>
      </c>
      <c r="D76">
        <v>67</v>
      </c>
      <c r="E76">
        <v>93</v>
      </c>
      <c r="F76">
        <v>57</v>
      </c>
      <c r="G76">
        <v>62</v>
      </c>
      <c r="H76" s="4">
        <f t="shared" si="12"/>
        <v>65.2</v>
      </c>
      <c r="I76" s="4">
        <f t="shared" si="13"/>
        <v>17.210461934532724</v>
      </c>
    </row>
    <row r="77" spans="1:11">
      <c r="A77" t="s">
        <v>71</v>
      </c>
      <c r="B77" t="s">
        <v>81</v>
      </c>
      <c r="C77">
        <v>50</v>
      </c>
      <c r="D77">
        <v>39</v>
      </c>
      <c r="E77">
        <v>62</v>
      </c>
      <c r="F77">
        <v>66</v>
      </c>
      <c r="G77">
        <v>59</v>
      </c>
      <c r="H77" s="4">
        <f t="shared" si="12"/>
        <v>55.2</v>
      </c>
      <c r="I77" s="4">
        <f t="shared" si="13"/>
        <v>10.802777420645111</v>
      </c>
    </row>
    <row r="78" spans="1:11">
      <c r="A78" t="s">
        <v>71</v>
      </c>
      <c r="B78" t="s">
        <v>83</v>
      </c>
      <c r="C78">
        <v>69</v>
      </c>
      <c r="D78">
        <v>54</v>
      </c>
      <c r="E78">
        <v>72</v>
      </c>
      <c r="F78">
        <v>103</v>
      </c>
      <c r="G78">
        <v>67</v>
      </c>
      <c r="H78" s="4">
        <f t="shared" si="12"/>
        <v>73</v>
      </c>
      <c r="I78" s="4">
        <f t="shared" si="13"/>
        <v>18.124568960391858</v>
      </c>
    </row>
    <row r="79" spans="1:11">
      <c r="A79" t="s">
        <v>71</v>
      </c>
      <c r="B79" t="s">
        <v>84</v>
      </c>
      <c r="C79">
        <v>40</v>
      </c>
      <c r="D79">
        <v>39</v>
      </c>
      <c r="E79">
        <v>78</v>
      </c>
      <c r="F79">
        <v>58</v>
      </c>
      <c r="G79">
        <v>81</v>
      </c>
      <c r="H79" s="4">
        <f t="shared" si="12"/>
        <v>59.2</v>
      </c>
      <c r="I79" s="4">
        <f t="shared" si="13"/>
        <v>20.042454939452895</v>
      </c>
    </row>
    <row r="80" spans="1:11">
      <c r="A80" t="s">
        <v>71</v>
      </c>
      <c r="B80" t="s">
        <v>85</v>
      </c>
      <c r="C80">
        <v>66</v>
      </c>
      <c r="D80">
        <v>79</v>
      </c>
      <c r="E80">
        <v>106</v>
      </c>
      <c r="F80">
        <v>63</v>
      </c>
      <c r="G80">
        <v>69</v>
      </c>
      <c r="H80" s="4">
        <f t="shared" si="12"/>
        <v>76.599999999999994</v>
      </c>
      <c r="I80" s="4">
        <f t="shared" si="13"/>
        <v>17.501428513124299</v>
      </c>
    </row>
    <row r="81" spans="1:12">
      <c r="A81" t="s">
        <v>71</v>
      </c>
      <c r="B81" t="s">
        <v>86</v>
      </c>
      <c r="C81">
        <v>40</v>
      </c>
      <c r="D81">
        <v>57</v>
      </c>
      <c r="E81">
        <v>63</v>
      </c>
      <c r="F81">
        <v>60</v>
      </c>
      <c r="G81" s="6">
        <v>444</v>
      </c>
      <c r="H81" s="4">
        <f t="shared" si="12"/>
        <v>132.80000000000001</v>
      </c>
      <c r="I81" s="4">
        <f t="shared" si="13"/>
        <v>174.19443159871673</v>
      </c>
    </row>
    <row r="82" spans="1:12">
      <c r="A82" t="s">
        <v>71</v>
      </c>
      <c r="B82" t="s">
        <v>87</v>
      </c>
      <c r="C82">
        <v>46</v>
      </c>
      <c r="D82">
        <v>35</v>
      </c>
      <c r="E82">
        <v>47</v>
      </c>
      <c r="F82">
        <v>28</v>
      </c>
      <c r="G82">
        <v>50</v>
      </c>
      <c r="H82" s="4">
        <f t="shared" si="12"/>
        <v>41.2</v>
      </c>
      <c r="I82" s="4">
        <f t="shared" si="13"/>
        <v>9.3112834775878142</v>
      </c>
    </row>
    <row r="83" spans="1:12">
      <c r="A83" t="s">
        <v>71</v>
      </c>
      <c r="B83" t="s">
        <v>88</v>
      </c>
      <c r="C83">
        <v>72</v>
      </c>
      <c r="D83">
        <v>28</v>
      </c>
      <c r="E83">
        <v>46</v>
      </c>
      <c r="F83">
        <v>37</v>
      </c>
      <c r="G83">
        <v>77</v>
      </c>
      <c r="H83" s="4">
        <f t="shared" si="12"/>
        <v>52</v>
      </c>
      <c r="I83" s="4">
        <f t="shared" si="13"/>
        <v>21.575449010391416</v>
      </c>
    </row>
    <row r="84" spans="1:12">
      <c r="A84" t="s">
        <v>71</v>
      </c>
      <c r="B84" t="s">
        <v>89</v>
      </c>
      <c r="C84">
        <v>68</v>
      </c>
      <c r="D84">
        <v>75</v>
      </c>
      <c r="E84">
        <v>53</v>
      </c>
      <c r="F84">
        <v>71</v>
      </c>
      <c r="G84">
        <v>26</v>
      </c>
      <c r="H84" s="4">
        <f t="shared" si="12"/>
        <v>58.6</v>
      </c>
      <c r="I84" s="4">
        <f t="shared" si="13"/>
        <v>20.032473636573197</v>
      </c>
    </row>
    <row r="85" spans="1:12">
      <c r="B85">
        <f>COUNTA(B68:B84)</f>
        <v>17</v>
      </c>
    </row>
    <row r="86" spans="1:12">
      <c r="B86" s="3" t="s">
        <v>92</v>
      </c>
      <c r="C86" s="4">
        <f>AVERAGE(C68:C84)</f>
        <v>58.176470588235297</v>
      </c>
      <c r="D86" s="4">
        <f t="shared" ref="D86:G86" si="14">AVERAGE(D68:D84)</f>
        <v>47.352941176470587</v>
      </c>
      <c r="E86" s="4">
        <f t="shared" si="14"/>
        <v>68.705882352941174</v>
      </c>
      <c r="F86" s="4">
        <f t="shared" si="14"/>
        <v>58.529411764705884</v>
      </c>
      <c r="G86" s="4">
        <f t="shared" si="14"/>
        <v>106.94117647058823</v>
      </c>
      <c r="J86" t="s">
        <v>97</v>
      </c>
      <c r="K86" s="5">
        <f>AVERAGE(C68:G84)</f>
        <v>67.941176470588232</v>
      </c>
      <c r="L86" s="8"/>
    </row>
    <row r="87" spans="1:12">
      <c r="B87" s="3" t="s">
        <v>103</v>
      </c>
      <c r="C87" s="4">
        <f>_xlfn.STDEV.S(C68:C84)</f>
        <v>19.471887729871131</v>
      </c>
      <c r="D87" s="4">
        <f t="shared" ref="D87:G87" si="15">_xlfn.STDEV.S(D68:D84)</f>
        <v>17.999795750475155</v>
      </c>
      <c r="E87" s="4">
        <f t="shared" si="15"/>
        <v>19.782456577364037</v>
      </c>
      <c r="F87" s="4">
        <f t="shared" si="15"/>
        <v>20.655258552783916</v>
      </c>
      <c r="G87" s="4">
        <f t="shared" si="15"/>
        <v>128.43601061824293</v>
      </c>
      <c r="J87" t="s">
        <v>107</v>
      </c>
      <c r="K87" s="5">
        <f>_xlfn.STDEV.S(C68:G84)</f>
        <v>62.150997567210773</v>
      </c>
    </row>
  </sheetData>
  <mergeCells count="2">
    <mergeCell ref="P1:Q1"/>
    <mergeCell ref="N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E2" sqref="E2"/>
    </sheetView>
  </sheetViews>
  <sheetFormatPr baseColWidth="10" defaultColWidth="8.83203125" defaultRowHeight="17"/>
  <cols>
    <col min="3" max="3" width="14.6640625" bestFit="1" customWidth="1"/>
    <col min="4" max="4" width="12.83203125" bestFit="1" customWidth="1"/>
  </cols>
  <sheetData>
    <row r="1" spans="1:5">
      <c r="A1" t="s">
        <v>0</v>
      </c>
      <c r="B1" t="s">
        <v>90</v>
      </c>
      <c r="C1" t="s">
        <v>13</v>
      </c>
      <c r="D1" t="s">
        <v>14</v>
      </c>
      <c r="E1" t="s">
        <v>15</v>
      </c>
    </row>
    <row r="2" spans="1:5">
      <c r="A2" t="s">
        <v>16</v>
      </c>
      <c r="B2">
        <v>18</v>
      </c>
      <c r="C2">
        <v>96.6</v>
      </c>
      <c r="E2">
        <v>91.2</v>
      </c>
    </row>
    <row r="3" spans="1:5">
      <c r="A3" t="s">
        <v>35</v>
      </c>
      <c r="B3">
        <v>17</v>
      </c>
      <c r="C3">
        <v>97.3</v>
      </c>
      <c r="E3">
        <v>92.4</v>
      </c>
    </row>
    <row r="4" spans="1:5">
      <c r="A4" t="s">
        <v>53</v>
      </c>
      <c r="B4">
        <v>17</v>
      </c>
      <c r="D4">
        <v>69.099999999999994</v>
      </c>
      <c r="E4">
        <v>67.900000000000006</v>
      </c>
    </row>
    <row r="5" spans="1:5">
      <c r="A5" t="s">
        <v>71</v>
      </c>
      <c r="B5">
        <v>18</v>
      </c>
      <c r="D5">
        <v>70.3</v>
      </c>
      <c r="E5">
        <v>68.099999999999994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단어수</vt:lpstr>
      <vt:lpstr>컨디션별</vt:lpstr>
      <vt:lpstr>컨디션별통계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최성준</cp:lastModifiedBy>
  <dcterms:created xsi:type="dcterms:W3CDTF">2026-02-01T17:04:11Z</dcterms:created>
  <dcterms:modified xsi:type="dcterms:W3CDTF">2026-02-06T05:35:42Z</dcterms:modified>
</cp:coreProperties>
</file>